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809501\Downloads\"/>
    </mc:Choice>
  </mc:AlternateContent>
  <bookViews>
    <workbookView xWindow="0" yWindow="0" windowWidth="9255" windowHeight="5820"/>
  </bookViews>
  <sheets>
    <sheet name="Plan de Trabajo" sheetId="1" r:id="rId1"/>
    <sheet name="Equipo" sheetId="16" r:id="rId2"/>
  </sheets>
  <definedNames>
    <definedName name="Z_294F79D7_C651_4C10_841E_13DE912AF696_.wvu.FilterData" localSheetId="0" hidden="1">'Plan de Trabajo'!$A$1:$AD$189</definedName>
    <definedName name="Z_2AD40DEB_FF9B_4833_B846_D70E80EC1C8E_.wvu.FilterData" localSheetId="0" hidden="1">'Plan de Trabajo'!$A$87:$AD$189</definedName>
    <definedName name="Z_2DBF9552_D01A_44B9_BE3A_9C709FE3F225_.wvu.FilterData" localSheetId="0" hidden="1">'Plan de Trabajo'!$A$1:$AD$189</definedName>
    <definedName name="Z_8E7B3813_634E_4634_AEEE_F15B9AE49455_.wvu.FilterData" localSheetId="0" hidden="1">'Plan de Trabajo'!$A$1:$AD$189</definedName>
  </definedNames>
  <calcPr calcId="152511"/>
  <customWorkbookViews>
    <customWorkbookView name="Filtro 4" guid="{8E7B3813-634E-4634-AEEE-F15B9AE49455}" maximized="1" windowWidth="0" windowHeight="0" activeSheetId="0"/>
    <customWorkbookView name="Filtro 1" guid="{2AD40DEB-FF9B-4833-B846-D70E80EC1C8E}" maximized="1" windowWidth="0" windowHeight="0" activeSheetId="0"/>
    <customWorkbookView name="Filtro 2" guid="{2DBF9552-D01A-44B9-BE3A-9C709FE3F225}" maximized="1" windowWidth="0" windowHeight="0" activeSheetId="0"/>
    <customWorkbookView name="Filtro 3" guid="{294F79D7-C651-4C10-841E-13DE912AF696}" maximized="1" windowWidth="0" windowHeight="0" activeSheetId="0"/>
  </customWorkbookViews>
</workbook>
</file>

<file path=xl/calcChain.xml><?xml version="1.0" encoding="utf-8"?>
<calcChain xmlns="http://schemas.openxmlformats.org/spreadsheetml/2006/main">
  <c r="E6" i="16" l="1"/>
  <c r="E5" i="16"/>
  <c r="E4" i="16"/>
  <c r="E3" i="16"/>
  <c r="E2" i="16"/>
  <c r="L181" i="1"/>
  <c r="L170" i="1"/>
  <c r="L160" i="1"/>
  <c r="L142" i="1"/>
  <c r="L136" i="1"/>
  <c r="L129" i="1"/>
  <c r="L122" i="1"/>
  <c r="L116" i="1"/>
  <c r="L101" i="1"/>
  <c r="L100" i="1" s="1"/>
  <c r="L97" i="1"/>
  <c r="L93" i="1"/>
  <c r="G89" i="1"/>
  <c r="F90" i="1" s="1"/>
  <c r="G90" i="1" s="1"/>
  <c r="L88" i="1"/>
  <c r="L80" i="1"/>
  <c r="L73" i="1"/>
  <c r="G68" i="1"/>
  <c r="N68" i="1" s="1"/>
  <c r="L67" i="1"/>
  <c r="G52" i="1"/>
  <c r="N52" i="1" s="1"/>
  <c r="G45" i="1"/>
  <c r="N45" i="1" s="1"/>
  <c r="G44" i="1"/>
  <c r="N44" i="1" s="1"/>
  <c r="G36" i="1"/>
  <c r="F37" i="1" s="1"/>
  <c r="G37" i="1" s="1"/>
  <c r="G35" i="1"/>
  <c r="N35" i="1" s="1"/>
  <c r="L34" i="1"/>
  <c r="N31" i="1"/>
  <c r="H31" i="1"/>
  <c r="G30" i="1"/>
  <c r="N30" i="1" s="1"/>
  <c r="G27" i="1"/>
  <c r="N27" i="1" s="1"/>
  <c r="F26" i="1"/>
  <c r="G25" i="1"/>
  <c r="G26" i="1" s="1"/>
  <c r="F24" i="1"/>
  <c r="G23" i="1"/>
  <c r="N23" i="1" s="1"/>
  <c r="L22" i="1"/>
  <c r="N21" i="1"/>
  <c r="N20" i="1"/>
  <c r="N19" i="1"/>
  <c r="N18" i="1"/>
  <c r="N17" i="1"/>
  <c r="N16" i="1"/>
  <c r="N15" i="1"/>
  <c r="N14" i="1"/>
  <c r="N13" i="1"/>
  <c r="L12" i="1"/>
  <c r="G12" i="1"/>
  <c r="F12" i="1"/>
  <c r="N11" i="1"/>
  <c r="N10" i="1"/>
  <c r="N9" i="1"/>
  <c r="N8" i="1"/>
  <c r="L7" i="1"/>
  <c r="G7" i="1"/>
  <c r="F7" i="1"/>
  <c r="N5" i="1"/>
  <c r="N4" i="1"/>
  <c r="L3" i="1"/>
  <c r="G3" i="1"/>
  <c r="N3" i="1" s="1"/>
  <c r="F3" i="1"/>
  <c r="M16" i="1"/>
  <c r="M44" i="1"/>
  <c r="M14" i="1"/>
  <c r="M15" i="1"/>
  <c r="M31" i="1"/>
  <c r="M8" i="1"/>
  <c r="M11" i="1"/>
  <c r="M10" i="1"/>
  <c r="M19" i="1"/>
  <c r="M9" i="1"/>
  <c r="M21" i="1"/>
  <c r="M20" i="1"/>
  <c r="M13" i="1"/>
  <c r="M35" i="1"/>
  <c r="M45" i="1"/>
  <c r="M5" i="1"/>
  <c r="M4" i="1"/>
  <c r="M30" i="1"/>
  <c r="M18" i="1"/>
  <c r="M17" i="1"/>
  <c r="L115" i="1" l="1"/>
  <c r="N89" i="1"/>
  <c r="F53" i="1"/>
  <c r="G53" i="1" s="1"/>
  <c r="N53" i="1" s="1"/>
  <c r="N36" i="1"/>
  <c r="L6" i="1"/>
  <c r="F69" i="1"/>
  <c r="G69" i="1" s="1"/>
  <c r="F70" i="1" s="1"/>
  <c r="G70" i="1" s="1"/>
  <c r="N12" i="1"/>
  <c r="M34" i="1"/>
  <c r="M33" i="1" s="1"/>
  <c r="M32" i="1" s="1"/>
  <c r="M3" i="1"/>
  <c r="M2" i="1" s="1"/>
  <c r="M12" i="1"/>
  <c r="M7" i="1"/>
  <c r="N26" i="1"/>
  <c r="F38" i="1"/>
  <c r="N37" i="1"/>
  <c r="L87" i="1"/>
  <c r="N90" i="1"/>
  <c r="F54" i="1"/>
  <c r="N7" i="1"/>
  <c r="N25" i="1"/>
  <c r="F46" i="1"/>
  <c r="G24" i="1"/>
  <c r="F91" i="1"/>
  <c r="L33" i="1"/>
  <c r="M89" i="1"/>
  <c r="M36" i="1"/>
  <c r="K45" i="1"/>
  <c r="K36" i="1"/>
  <c r="M25" i="1"/>
  <c r="M26" i="1"/>
  <c r="K8" i="1"/>
  <c r="K10" i="1"/>
  <c r="K21" i="1"/>
  <c r="M23" i="1"/>
  <c r="M37" i="1"/>
  <c r="K17" i="1"/>
  <c r="K5" i="1"/>
  <c r="K44" i="1"/>
  <c r="K13" i="1"/>
  <c r="M27" i="1"/>
  <c r="M53" i="1"/>
  <c r="M68" i="1"/>
  <c r="M90" i="1"/>
  <c r="K19" i="1"/>
  <c r="M52" i="1"/>
  <c r="K14" i="1"/>
  <c r="K4" i="1"/>
  <c r="K12" i="1"/>
  <c r="K9" i="1"/>
  <c r="K15" i="1"/>
  <c r="K3" i="1"/>
  <c r="K30" i="1"/>
  <c r="K31" i="1"/>
  <c r="K18" i="1"/>
  <c r="K20" i="1"/>
  <c r="K35" i="1"/>
  <c r="K11" i="1"/>
  <c r="K89" i="1"/>
  <c r="K16" i="1"/>
  <c r="M88" i="1" l="1"/>
  <c r="M87" i="1" s="1"/>
  <c r="N69" i="1"/>
  <c r="M22" i="1"/>
  <c r="M67" i="1"/>
  <c r="G91" i="1"/>
  <c r="F92" i="1"/>
  <c r="N24" i="1"/>
  <c r="G28" i="1"/>
  <c r="L32" i="1"/>
  <c r="G46" i="1"/>
  <c r="F71" i="1"/>
  <c r="N70" i="1"/>
  <c r="M6" i="1"/>
  <c r="G54" i="1"/>
  <c r="G38" i="1"/>
  <c r="M69" i="1"/>
  <c r="K25" i="1"/>
  <c r="K27" i="1"/>
  <c r="K69" i="1"/>
  <c r="K37" i="1"/>
  <c r="K68" i="1"/>
  <c r="K52" i="1"/>
  <c r="M24" i="1"/>
  <c r="M70" i="1"/>
  <c r="K7" i="1"/>
  <c r="K26" i="1"/>
  <c r="K90" i="1"/>
  <c r="K23" i="1"/>
  <c r="K53" i="1"/>
  <c r="F88" i="1" l="1"/>
  <c r="F47" i="1"/>
  <c r="N46" i="1"/>
  <c r="F29" i="1"/>
  <c r="N28" i="1"/>
  <c r="L2" i="1"/>
  <c r="F55" i="1"/>
  <c r="N54" i="1"/>
  <c r="N38" i="1"/>
  <c r="F39" i="1"/>
  <c r="G92" i="1"/>
  <c r="N92" i="1" s="1"/>
  <c r="N91" i="1"/>
  <c r="G88" i="1"/>
  <c r="G71" i="1"/>
  <c r="M38" i="1"/>
  <c r="K24" i="1"/>
  <c r="M28" i="1"/>
  <c r="M46" i="1"/>
  <c r="M91" i="1"/>
  <c r="M54" i="1"/>
  <c r="K70" i="1"/>
  <c r="F94" i="1" l="1"/>
  <c r="N88" i="1"/>
  <c r="F22" i="1"/>
  <c r="F6" i="1" s="1"/>
  <c r="G29" i="1"/>
  <c r="G47" i="1"/>
  <c r="F72" i="1"/>
  <c r="N71" i="1"/>
  <c r="G39" i="1"/>
  <c r="G55" i="1"/>
  <c r="K54" i="1"/>
  <c r="K91" i="1"/>
  <c r="K38" i="1"/>
  <c r="M92" i="1"/>
  <c r="K28" i="1"/>
  <c r="K88" i="1"/>
  <c r="K46" i="1"/>
  <c r="M71" i="1"/>
  <c r="F40" i="1" l="1"/>
  <c r="N39" i="1"/>
  <c r="G72" i="1"/>
  <c r="F67" i="1"/>
  <c r="F48" i="1"/>
  <c r="N47" i="1"/>
  <c r="N29" i="1"/>
  <c r="G22" i="1"/>
  <c r="F57" i="1"/>
  <c r="F56" i="1"/>
  <c r="N55" i="1"/>
  <c r="G94" i="1"/>
  <c r="M39" i="1"/>
  <c r="M47" i="1"/>
  <c r="M29" i="1"/>
  <c r="K92" i="1"/>
  <c r="M55" i="1"/>
  <c r="K71" i="1"/>
  <c r="G57" i="1" l="1"/>
  <c r="N22" i="1"/>
  <c r="G6" i="1"/>
  <c r="G48" i="1"/>
  <c r="G56" i="1"/>
  <c r="N56" i="1" s="1"/>
  <c r="F102" i="1"/>
  <c r="N72" i="1"/>
  <c r="G67" i="1"/>
  <c r="F95" i="1"/>
  <c r="N94" i="1"/>
  <c r="G40" i="1"/>
  <c r="K47" i="1"/>
  <c r="K39" i="1"/>
  <c r="M72" i="1"/>
  <c r="K29" i="1"/>
  <c r="K22" i="1"/>
  <c r="K55" i="1"/>
  <c r="M94" i="1"/>
  <c r="M93" i="1" l="1"/>
  <c r="F41" i="1"/>
  <c r="N40" i="1"/>
  <c r="N67" i="1"/>
  <c r="F58" i="1"/>
  <c r="N57" i="1"/>
  <c r="F59" i="1"/>
  <c r="F96" i="1"/>
  <c r="F93" i="1" s="1"/>
  <c r="G95" i="1"/>
  <c r="N48" i="1"/>
  <c r="F49" i="1"/>
  <c r="G102" i="1"/>
  <c r="O102" i="1" s="1"/>
  <c r="N6" i="1"/>
  <c r="M48" i="1"/>
  <c r="M40" i="1"/>
  <c r="K67" i="1"/>
  <c r="K94" i="1"/>
  <c r="K6" i="1"/>
  <c r="M57" i="1"/>
  <c r="K72" i="1"/>
  <c r="M56" i="1"/>
  <c r="G58" i="1" l="1"/>
  <c r="N58" i="1" s="1"/>
  <c r="N95" i="1"/>
  <c r="G41" i="1"/>
  <c r="F103" i="1"/>
  <c r="N102" i="1"/>
  <c r="G96" i="1"/>
  <c r="G49" i="1"/>
  <c r="G59" i="1"/>
  <c r="M95" i="1"/>
  <c r="K48" i="1"/>
  <c r="K57" i="1"/>
  <c r="K40" i="1"/>
  <c r="K56" i="1"/>
  <c r="M102" i="1"/>
  <c r="M101" i="1" l="1"/>
  <c r="G93" i="1"/>
  <c r="F50" i="1"/>
  <c r="N49" i="1"/>
  <c r="F51" i="1"/>
  <c r="F42" i="1"/>
  <c r="N41" i="1"/>
  <c r="F43" i="1"/>
  <c r="N96" i="1"/>
  <c r="F98" i="1"/>
  <c r="G103" i="1"/>
  <c r="O103" i="1" s="1"/>
  <c r="F60" i="1"/>
  <c r="N59" i="1"/>
  <c r="F61" i="1"/>
  <c r="M58" i="1"/>
  <c r="M49" i="1"/>
  <c r="M96" i="1"/>
  <c r="K95" i="1"/>
  <c r="K102" i="1"/>
  <c r="M59" i="1"/>
  <c r="M41" i="1"/>
  <c r="G42" i="1" l="1"/>
  <c r="G50" i="1"/>
  <c r="G61" i="1"/>
  <c r="N93" i="1"/>
  <c r="M100" i="1"/>
  <c r="G98" i="1"/>
  <c r="G51" i="1"/>
  <c r="G60" i="1"/>
  <c r="N60" i="1" s="1"/>
  <c r="G43" i="1"/>
  <c r="F104" i="1"/>
  <c r="F105" i="1"/>
  <c r="N103" i="1"/>
  <c r="M60" i="1"/>
  <c r="K96" i="1"/>
  <c r="K59" i="1"/>
  <c r="K49" i="1"/>
  <c r="K41" i="1"/>
  <c r="K93" i="1"/>
  <c r="K58" i="1"/>
  <c r="M103" i="1"/>
  <c r="G104" i="1" l="1"/>
  <c r="F76" i="1"/>
  <c r="N43" i="1"/>
  <c r="F99" i="1"/>
  <c r="N98" i="1"/>
  <c r="G105" i="1"/>
  <c r="F108" i="1"/>
  <c r="N61" i="1"/>
  <c r="F63" i="1"/>
  <c r="F62" i="1"/>
  <c r="F83" i="1"/>
  <c r="N50" i="1"/>
  <c r="N42" i="1"/>
  <c r="F81" i="1"/>
  <c r="N51" i="1"/>
  <c r="F85" i="1"/>
  <c r="F74" i="1"/>
  <c r="M42" i="1"/>
  <c r="K60" i="1"/>
  <c r="M50" i="1"/>
  <c r="K103" i="1"/>
  <c r="M43" i="1"/>
  <c r="M98" i="1"/>
  <c r="M61" i="1"/>
  <c r="M51" i="1"/>
  <c r="G81" i="1" l="1"/>
  <c r="N104" i="1"/>
  <c r="G99" i="1"/>
  <c r="F97" i="1"/>
  <c r="F87" i="1" s="1"/>
  <c r="G62" i="1"/>
  <c r="N62" i="1" s="1"/>
  <c r="G85" i="1"/>
  <c r="N85" i="1" s="1"/>
  <c r="G63" i="1"/>
  <c r="G74" i="1"/>
  <c r="F77" i="1"/>
  <c r="F106" i="1"/>
  <c r="N105" i="1"/>
  <c r="G108" i="1"/>
  <c r="N108" i="1" s="1"/>
  <c r="F79" i="1"/>
  <c r="G76" i="1"/>
  <c r="O104" i="1"/>
  <c r="M108" i="1"/>
  <c r="K42" i="1"/>
  <c r="K61" i="1"/>
  <c r="K98" i="1"/>
  <c r="M62" i="1"/>
  <c r="K43" i="1"/>
  <c r="M104" i="1"/>
  <c r="M105" i="1"/>
  <c r="M85" i="1"/>
  <c r="K51" i="1"/>
  <c r="K50" i="1"/>
  <c r="G106" i="1" l="1"/>
  <c r="F114" i="1"/>
  <c r="F109" i="1"/>
  <c r="F82" i="1"/>
  <c r="N81" i="1"/>
  <c r="G83" i="1"/>
  <c r="G79" i="1"/>
  <c r="N79" i="1" s="1"/>
  <c r="N76" i="1"/>
  <c r="G77" i="1"/>
  <c r="N77" i="1" s="1"/>
  <c r="F75" i="1"/>
  <c r="N74" i="1"/>
  <c r="F65" i="1"/>
  <c r="F64" i="1"/>
  <c r="N63" i="1"/>
  <c r="N99" i="1"/>
  <c r="G97" i="1"/>
  <c r="M63" i="1"/>
  <c r="M76" i="1"/>
  <c r="M81" i="1"/>
  <c r="M99" i="1"/>
  <c r="K105" i="1"/>
  <c r="K85" i="1"/>
  <c r="K62" i="1"/>
  <c r="M79" i="1"/>
  <c r="K108" i="1"/>
  <c r="K104" i="1"/>
  <c r="M74" i="1"/>
  <c r="M73" i="1" l="1"/>
  <c r="M80" i="1"/>
  <c r="M97" i="1"/>
  <c r="G64" i="1"/>
  <c r="N64" i="1" s="1"/>
  <c r="G65" i="1"/>
  <c r="G75" i="1"/>
  <c r="F78" i="1"/>
  <c r="F73" i="1" s="1"/>
  <c r="G109" i="1"/>
  <c r="N109" i="1" s="1"/>
  <c r="F107" i="1"/>
  <c r="N106" i="1"/>
  <c r="N83" i="1"/>
  <c r="G82" i="1"/>
  <c r="F84" i="1"/>
  <c r="N97" i="1"/>
  <c r="G87" i="1"/>
  <c r="M77" i="1"/>
  <c r="K76" i="1"/>
  <c r="M106" i="1"/>
  <c r="K79" i="1"/>
  <c r="K81" i="1"/>
  <c r="K74" i="1"/>
  <c r="M83" i="1"/>
  <c r="K97" i="1"/>
  <c r="K63" i="1"/>
  <c r="K99" i="1"/>
  <c r="F66" i="1" l="1"/>
  <c r="N65" i="1"/>
  <c r="F86" i="1"/>
  <c r="G84" i="1"/>
  <c r="N84" i="1" s="1"/>
  <c r="N82" i="1"/>
  <c r="N87" i="1"/>
  <c r="N75" i="1"/>
  <c r="G78" i="1"/>
  <c r="N78" i="1" s="1"/>
  <c r="G107" i="1"/>
  <c r="F80" i="1"/>
  <c r="M75" i="1"/>
  <c r="K77" i="1"/>
  <c r="M65" i="1"/>
  <c r="K87" i="1"/>
  <c r="K83" i="1"/>
  <c r="M82" i="1"/>
  <c r="M64" i="1"/>
  <c r="K106" i="1"/>
  <c r="M109" i="1"/>
  <c r="G73" i="1" l="1"/>
  <c r="N73" i="1" s="1"/>
  <c r="G86" i="1"/>
  <c r="G66" i="1"/>
  <c r="F34" i="1"/>
  <c r="F33" i="1" s="1"/>
  <c r="F32" i="1" s="1"/>
  <c r="N107" i="1"/>
  <c r="F110" i="1"/>
  <c r="K75" i="1"/>
  <c r="K82" i="1"/>
  <c r="K64" i="1"/>
  <c r="M107" i="1"/>
  <c r="K65" i="1"/>
  <c r="K73" i="1"/>
  <c r="M84" i="1"/>
  <c r="M78" i="1"/>
  <c r="K109" i="1"/>
  <c r="N86" i="1" l="1"/>
  <c r="G80" i="1"/>
  <c r="F111" i="1"/>
  <c r="F126" i="1"/>
  <c r="G110" i="1"/>
  <c r="F113" i="1"/>
  <c r="N66" i="1"/>
  <c r="G34" i="1"/>
  <c r="M66" i="1"/>
  <c r="M86" i="1"/>
  <c r="K84" i="1"/>
  <c r="K78" i="1"/>
  <c r="K107" i="1"/>
  <c r="N34" i="1" l="1"/>
  <c r="G33" i="1"/>
  <c r="G126" i="1"/>
  <c r="F112" i="1"/>
  <c r="F101" i="1" s="1"/>
  <c r="F100" i="1" s="1"/>
  <c r="F117" i="1"/>
  <c r="N80" i="1"/>
  <c r="N110" i="1"/>
  <c r="G112" i="1"/>
  <c r="G113" i="1"/>
  <c r="K34" i="1"/>
  <c r="K86" i="1"/>
  <c r="K80" i="1"/>
  <c r="K66" i="1"/>
  <c r="M110" i="1"/>
  <c r="G127" i="1" l="1"/>
  <c r="F127" i="1"/>
  <c r="N126" i="1"/>
  <c r="G117" i="1"/>
  <c r="G114" i="1"/>
  <c r="N113" i="1"/>
  <c r="N33" i="1"/>
  <c r="G32" i="1"/>
  <c r="G111" i="1"/>
  <c r="N112" i="1"/>
  <c r="K33" i="1"/>
  <c r="K110" i="1"/>
  <c r="M112" i="1"/>
  <c r="M113" i="1"/>
  <c r="M126" i="1"/>
  <c r="N32" i="1" l="1"/>
  <c r="N114" i="1"/>
  <c r="G101" i="1"/>
  <c r="N111" i="1"/>
  <c r="F128" i="1"/>
  <c r="N127" i="1"/>
  <c r="G128" i="1"/>
  <c r="F118" i="1"/>
  <c r="N117" i="1"/>
  <c r="F119" i="1"/>
  <c r="K32" i="1"/>
  <c r="M111" i="1"/>
  <c r="K126" i="1"/>
  <c r="M127" i="1"/>
  <c r="K112" i="1"/>
  <c r="M117" i="1"/>
  <c r="K113" i="1"/>
  <c r="M114" i="1"/>
  <c r="M116" i="1" l="1"/>
  <c r="G118" i="1"/>
  <c r="N128" i="1"/>
  <c r="F130" i="1"/>
  <c r="N101" i="1"/>
  <c r="G100" i="1"/>
  <c r="F121" i="1"/>
  <c r="G119" i="1"/>
  <c r="K101" i="1"/>
  <c r="K111" i="1"/>
  <c r="K127" i="1"/>
  <c r="M128" i="1"/>
  <c r="K114" i="1"/>
  <c r="K117" i="1"/>
  <c r="F120" i="1" l="1"/>
  <c r="N119" i="1"/>
  <c r="N118" i="1"/>
  <c r="M115" i="1"/>
  <c r="G130" i="1"/>
  <c r="N100" i="1"/>
  <c r="M118" i="1"/>
  <c r="K128" i="1"/>
  <c r="K100" i="1"/>
  <c r="M119" i="1"/>
  <c r="F131" i="1" l="1"/>
  <c r="N130" i="1"/>
  <c r="F132" i="1"/>
  <c r="G120" i="1"/>
  <c r="F116" i="1"/>
  <c r="K118" i="1"/>
  <c r="K119" i="1"/>
  <c r="M130" i="1"/>
  <c r="M129" i="1" l="1"/>
  <c r="F134" i="1"/>
  <c r="F133" i="1"/>
  <c r="G131" i="1"/>
  <c r="G121" i="1"/>
  <c r="N120" i="1"/>
  <c r="G132" i="1"/>
  <c r="F135" i="1"/>
  <c r="M120" i="1"/>
  <c r="K130" i="1"/>
  <c r="N121" i="1" l="1"/>
  <c r="G135" i="1"/>
  <c r="N132" i="1"/>
  <c r="F129" i="1"/>
  <c r="G134" i="1"/>
  <c r="N131" i="1"/>
  <c r="G133" i="1"/>
  <c r="G116" i="1"/>
  <c r="K120" i="1"/>
  <c r="M131" i="1"/>
  <c r="M121" i="1"/>
  <c r="M132" i="1"/>
  <c r="G129" i="1" l="1"/>
  <c r="N129" i="1"/>
  <c r="N133" i="1"/>
  <c r="N134" i="1"/>
  <c r="F123" i="1"/>
  <c r="N116" i="1"/>
  <c r="F124" i="1"/>
  <c r="F125" i="1"/>
  <c r="N135" i="1"/>
  <c r="K132" i="1"/>
  <c r="M134" i="1"/>
  <c r="M135" i="1"/>
  <c r="K131" i="1"/>
  <c r="M133" i="1"/>
  <c r="K116" i="1"/>
  <c r="K121" i="1"/>
  <c r="K129" i="1"/>
  <c r="G125" i="1" l="1"/>
  <c r="G124" i="1"/>
  <c r="G123" i="1"/>
  <c r="F122" i="1"/>
  <c r="K134" i="1"/>
  <c r="K133" i="1"/>
  <c r="K135" i="1"/>
  <c r="N124" i="1" l="1"/>
  <c r="N125" i="1"/>
  <c r="F115" i="1"/>
  <c r="N123" i="1"/>
  <c r="G122" i="1"/>
  <c r="M124" i="1"/>
  <c r="M125" i="1"/>
  <c r="M123" i="1"/>
  <c r="M122" i="1" l="1"/>
  <c r="N122" i="1"/>
  <c r="G115" i="1"/>
  <c r="K125" i="1"/>
  <c r="K123" i="1"/>
  <c r="K122" i="1"/>
  <c r="K124" i="1"/>
  <c r="N115" i="1" l="1"/>
  <c r="K115" i="1"/>
  <c r="F137" i="1" l="1"/>
  <c r="G137" i="1" l="1"/>
  <c r="G138" i="1" l="1"/>
  <c r="F138" i="1"/>
  <c r="N137" i="1"/>
  <c r="F139" i="1"/>
  <c r="M137" i="1"/>
  <c r="M136" i="1" l="1"/>
  <c r="N138" i="1"/>
  <c r="G139" i="1"/>
  <c r="M138" i="1"/>
  <c r="K137" i="1"/>
  <c r="N139" i="1" l="1"/>
  <c r="G140" i="1"/>
  <c r="F140" i="1"/>
  <c r="K138" i="1"/>
  <c r="M139" i="1"/>
  <c r="F141" i="1" l="1"/>
  <c r="F136" i="1" s="1"/>
  <c r="N140" i="1"/>
  <c r="M140" i="1"/>
  <c r="K139" i="1"/>
  <c r="G141" i="1" l="1"/>
  <c r="K140" i="1"/>
  <c r="N141" i="1" l="1"/>
  <c r="G136" i="1"/>
  <c r="M141" i="1"/>
  <c r="F143" i="1" l="1"/>
  <c r="N136" i="1"/>
  <c r="K136" i="1"/>
  <c r="K141" i="1"/>
  <c r="F146" i="1" l="1"/>
  <c r="F144" i="1"/>
  <c r="F145" i="1"/>
  <c r="G143" i="1"/>
  <c r="F159" i="1"/>
  <c r="F151" i="1"/>
  <c r="G144" i="1" l="1"/>
  <c r="N144" i="1" s="1"/>
  <c r="F156" i="1"/>
  <c r="G146" i="1"/>
  <c r="N146" i="1" s="1"/>
  <c r="F158" i="1"/>
  <c r="F153" i="1"/>
  <c r="G151" i="1"/>
  <c r="G159" i="1"/>
  <c r="N159" i="1" s="1"/>
  <c r="F147" i="1"/>
  <c r="N143" i="1"/>
  <c r="G145" i="1"/>
  <c r="N145" i="1" s="1"/>
  <c r="M144" i="1"/>
  <c r="M143" i="1"/>
  <c r="M145" i="1"/>
  <c r="M142" i="1" l="1"/>
  <c r="F152" i="1"/>
  <c r="N151" i="1"/>
  <c r="F157" i="1"/>
  <c r="G147" i="1"/>
  <c r="N147" i="1" s="1"/>
  <c r="F148" i="1"/>
  <c r="F155" i="1"/>
  <c r="G153" i="1"/>
  <c r="N153" i="1" s="1"/>
  <c r="G158" i="1"/>
  <c r="N158" i="1" s="1"/>
  <c r="G156" i="1"/>
  <c r="N156" i="1" s="1"/>
  <c r="M159" i="1"/>
  <c r="M153" i="1"/>
  <c r="M151" i="1"/>
  <c r="M146" i="1"/>
  <c r="K144" i="1"/>
  <c r="M156" i="1"/>
  <c r="K143" i="1"/>
  <c r="M158" i="1"/>
  <c r="K145" i="1"/>
  <c r="F154" i="1" l="1"/>
  <c r="G152" i="1"/>
  <c r="N152" i="1" s="1"/>
  <c r="G157" i="1"/>
  <c r="N157" i="1" s="1"/>
  <c r="F149" i="1"/>
  <c r="G148" i="1"/>
  <c r="G155" i="1"/>
  <c r="N155" i="1" s="1"/>
  <c r="K151" i="1"/>
  <c r="M152" i="1"/>
  <c r="K159" i="1"/>
  <c r="M157" i="1"/>
  <c r="K156" i="1"/>
  <c r="K158" i="1"/>
  <c r="M147" i="1"/>
  <c r="K146" i="1"/>
  <c r="K153" i="1"/>
  <c r="G154" i="1" l="1"/>
  <c r="N154" i="1" s="1"/>
  <c r="G149" i="1"/>
  <c r="N149" i="1" s="1"/>
  <c r="F150" i="1"/>
  <c r="F142" i="1" s="1"/>
  <c r="N148" i="1"/>
  <c r="M149" i="1"/>
  <c r="M155" i="1"/>
  <c r="M148" i="1"/>
  <c r="K157" i="1"/>
  <c r="K152" i="1"/>
  <c r="K147" i="1"/>
  <c r="G150" i="1" l="1"/>
  <c r="K148" i="1"/>
  <c r="M154" i="1"/>
  <c r="K149" i="1"/>
  <c r="K155" i="1"/>
  <c r="N150" i="1" l="1"/>
  <c r="G142" i="1"/>
  <c r="M150" i="1"/>
  <c r="K154" i="1"/>
  <c r="N142" i="1" l="1"/>
  <c r="F161" i="1"/>
  <c r="K142" i="1"/>
  <c r="K150" i="1"/>
  <c r="G161" i="1" l="1"/>
  <c r="N161" i="1" l="1"/>
  <c r="F163" i="1"/>
  <c r="G162" i="1"/>
  <c r="F162" i="1"/>
  <c r="M161" i="1"/>
  <c r="M160" i="1" l="1"/>
  <c r="N162" i="1"/>
  <c r="G163" i="1"/>
  <c r="M162" i="1"/>
  <c r="K161" i="1"/>
  <c r="F165" i="1" l="1"/>
  <c r="G164" i="1"/>
  <c r="F164" i="1"/>
  <c r="N163" i="1"/>
  <c r="K162" i="1"/>
  <c r="M163" i="1"/>
  <c r="N164" i="1" l="1"/>
  <c r="F167" i="1"/>
  <c r="G165" i="1"/>
  <c r="M164" i="1"/>
  <c r="K163" i="1"/>
  <c r="G166" i="1" l="1"/>
  <c r="F166" i="1"/>
  <c r="N165" i="1"/>
  <c r="G167" i="1"/>
  <c r="M165" i="1"/>
  <c r="K164" i="1"/>
  <c r="N166" i="1" l="1"/>
  <c r="G168" i="1"/>
  <c r="F168" i="1"/>
  <c r="N167" i="1"/>
  <c r="M167" i="1"/>
  <c r="M166" i="1"/>
  <c r="K165" i="1"/>
  <c r="F169" i="1" l="1"/>
  <c r="F160" i="1" s="1"/>
  <c r="N168" i="1"/>
  <c r="M168" i="1"/>
  <c r="K166" i="1"/>
  <c r="K167" i="1"/>
  <c r="G169" i="1" l="1"/>
  <c r="K168" i="1"/>
  <c r="N169" i="1" l="1"/>
  <c r="G160" i="1"/>
  <c r="M169" i="1"/>
  <c r="F171" i="1" l="1"/>
  <c r="N160" i="1"/>
  <c r="K160" i="1"/>
  <c r="K169" i="1"/>
  <c r="G171" i="1" l="1"/>
  <c r="F172" i="1" l="1"/>
  <c r="N171" i="1"/>
  <c r="G173" i="1"/>
  <c r="M171" i="1"/>
  <c r="M170" i="1" l="1"/>
  <c r="G172" i="1"/>
  <c r="F173" i="1"/>
  <c r="N173" i="1"/>
  <c r="G175" i="1"/>
  <c r="K171" i="1"/>
  <c r="F174" i="1" l="1"/>
  <c r="G176" i="1"/>
  <c r="N172" i="1"/>
  <c r="M173" i="1"/>
  <c r="M172" i="1"/>
  <c r="F2" i="1" l="1"/>
  <c r="G174" i="1"/>
  <c r="F175" i="1"/>
  <c r="G177" i="1"/>
  <c r="K173" i="1"/>
  <c r="K172" i="1"/>
  <c r="N174" i="1" l="1"/>
  <c r="G178" i="1"/>
  <c r="F176" i="1"/>
  <c r="N175" i="1"/>
  <c r="M174" i="1"/>
  <c r="M175" i="1"/>
  <c r="F179" i="1" l="1"/>
  <c r="F177" i="1"/>
  <c r="N176" i="1"/>
  <c r="M176" i="1"/>
  <c r="K175" i="1"/>
  <c r="K174" i="1"/>
  <c r="F178" i="1" l="1"/>
  <c r="N177" i="1"/>
  <c r="G179" i="1"/>
  <c r="F180" i="1"/>
  <c r="G2" i="1"/>
  <c r="M177" i="1"/>
  <c r="K176" i="1"/>
  <c r="G180" i="1" l="1"/>
  <c r="F170" i="1"/>
  <c r="N179" i="1"/>
  <c r="G170" i="1"/>
  <c r="N178" i="1"/>
  <c r="N2" i="1"/>
  <c r="M178" i="1"/>
  <c r="M179" i="1"/>
  <c r="K177" i="1"/>
  <c r="K2" i="1"/>
  <c r="N170" i="1" l="1"/>
  <c r="N180" i="1"/>
  <c r="F182" i="1"/>
  <c r="K179" i="1"/>
  <c r="K178" i="1"/>
  <c r="M180" i="1"/>
  <c r="K170" i="1"/>
  <c r="G182" i="1" l="1"/>
  <c r="K180" i="1"/>
  <c r="F183" i="1" l="1"/>
  <c r="N182" i="1"/>
  <c r="M182" i="1"/>
  <c r="M181" i="1" l="1"/>
  <c r="G183" i="1"/>
  <c r="F184" i="1"/>
  <c r="K182" i="1"/>
  <c r="F185" i="1" l="1"/>
  <c r="G184" i="1"/>
  <c r="N184" i="1" s="1"/>
  <c r="N183" i="1"/>
  <c r="M183" i="1"/>
  <c r="M184" i="1"/>
  <c r="G185" i="1" l="1"/>
  <c r="F186" i="1"/>
  <c r="K183" i="1"/>
  <c r="K184" i="1"/>
  <c r="F187" i="1" l="1"/>
  <c r="G186" i="1"/>
  <c r="N186" i="1" s="1"/>
  <c r="N185" i="1"/>
  <c r="M185" i="1"/>
  <c r="F188" i="1" l="1"/>
  <c r="G187" i="1"/>
  <c r="K185" i="1"/>
  <c r="M186" i="1"/>
  <c r="G188" i="1" l="1"/>
  <c r="N188" i="1" s="1"/>
  <c r="F189" i="1"/>
  <c r="F181" i="1"/>
  <c r="N187" i="1"/>
  <c r="K186" i="1"/>
  <c r="M187" i="1"/>
  <c r="G189" i="1" l="1"/>
  <c r="M188" i="1"/>
  <c r="K187" i="1"/>
  <c r="N189" i="1" l="1"/>
  <c r="G181" i="1"/>
  <c r="K188" i="1"/>
  <c r="M189" i="1"/>
  <c r="N181" i="1" l="1"/>
  <c r="K181" i="1"/>
  <c r="K189" i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scheme val="minor"/>
          </rPr>
          <t>inicia Servicio el 24/01/23
	-OSCAR EDILBERTO MESA TRUJILLO</t>
        </r>
      </text>
    </comment>
  </commentList>
</comments>
</file>

<file path=xl/sharedStrings.xml><?xml version="1.0" encoding="utf-8"?>
<sst xmlns="http://schemas.openxmlformats.org/spreadsheetml/2006/main" count="807" uniqueCount="379">
  <si>
    <t>Ítem</t>
  </si>
  <si>
    <t>Feature</t>
  </si>
  <si>
    <t>Actividad</t>
  </si>
  <si>
    <t>Responsable</t>
  </si>
  <si>
    <t>Tecnologia</t>
  </si>
  <si>
    <t>Fecha Inicio
Planificada</t>
  </si>
  <si>
    <t>Fecha Fin
Planificada</t>
  </si>
  <si>
    <t>Fecha Inicio
Real</t>
  </si>
  <si>
    <t>Fecha Fin
Real</t>
  </si>
  <si>
    <t>Dependencia/Comentarios</t>
  </si>
  <si>
    <t>ESTADO</t>
  </si>
  <si>
    <t>Avance
Real</t>
  </si>
  <si>
    <t>Avance
Esperado</t>
  </si>
  <si>
    <t>Dias</t>
  </si>
  <si>
    <t>0</t>
  </si>
  <si>
    <t>ETPB</t>
  </si>
  <si>
    <t>Enterprise Transactional Processing Backends</t>
  </si>
  <si>
    <t>EQ - DRACARYS</t>
  </si>
  <si>
    <t>1</t>
  </si>
  <si>
    <t>DEFINICION</t>
  </si>
  <si>
    <t>1.1</t>
  </si>
  <si>
    <t>Entendimiento</t>
  </si>
  <si>
    <t>Entendimiento Funcional</t>
  </si>
  <si>
    <t>TM - Oscar Mesa</t>
  </si>
  <si>
    <t>SCRUM</t>
  </si>
  <si>
    <t>1.2</t>
  </si>
  <si>
    <t>Entendimiento Tecnico</t>
  </si>
  <si>
    <t>2</t>
  </si>
  <si>
    <t>PLANEACION</t>
  </si>
  <si>
    <t>2.1</t>
  </si>
  <si>
    <t>Inputs</t>
  </si>
  <si>
    <t>2.1.1</t>
  </si>
  <si>
    <t>FARIT</t>
  </si>
  <si>
    <t>2.1.2</t>
  </si>
  <si>
    <t>Corporate Security</t>
  </si>
  <si>
    <t>2.1.3</t>
  </si>
  <si>
    <t>MSA Preliminar</t>
  </si>
  <si>
    <t>2.1.4</t>
  </si>
  <si>
    <t>MSA Definitivo</t>
  </si>
  <si>
    <t>Socializa v2 19-01-23
Actualizacion el 06/01/23 con Monitoreo
Socializa 22-12-22</t>
  </si>
  <si>
    <t>2.2</t>
  </si>
  <si>
    <t>Discovery</t>
  </si>
  <si>
    <t>2.2.1</t>
  </si>
  <si>
    <t>Liquidacion</t>
  </si>
  <si>
    <t>HD - Alberto Alonso</t>
  </si>
  <si>
    <t>2.2.2</t>
  </si>
  <si>
    <t>KBGE - Infraestructura de Pagos</t>
  </si>
  <si>
    <t>2.2.3</t>
  </si>
  <si>
    <t>KTRA - Tracking de Productos Digitales</t>
  </si>
  <si>
    <t>2.2.4</t>
  </si>
  <si>
    <t>JBSY    - Monitor de Productos Digitales</t>
  </si>
  <si>
    <t>2.2.5</t>
  </si>
  <si>
    <t>KREC  -  Conciliacion de Pagos</t>
  </si>
  <si>
    <t>2.2.6</t>
  </si>
  <si>
    <t>L1WI   -  Busqueda Avanzada Contratos</t>
  </si>
  <si>
    <t>2.2.7</t>
  </si>
  <si>
    <t xml:space="preserve">GLCJ    - Frontales Globales Empresas </t>
  </si>
  <si>
    <t>2.2.8</t>
  </si>
  <si>
    <t>BG/CA - Liquidacion Local</t>
  </si>
  <si>
    <t>2.2.9</t>
  </si>
  <si>
    <t>Capa Gestora - Liquidacion Local</t>
  </si>
  <si>
    <t>2.3</t>
  </si>
  <si>
    <t>Outputs</t>
  </si>
  <si>
    <t>2.3.1</t>
  </si>
  <si>
    <t>Plan de Trabajo</t>
  </si>
  <si>
    <t>2.3.2</t>
  </si>
  <si>
    <t>Diseño Tecnico</t>
  </si>
  <si>
    <t>2.3.3</t>
  </si>
  <si>
    <t>Inventario Componentes</t>
  </si>
  <si>
    <t>2.3.4</t>
  </si>
  <si>
    <t>Inventarios BBDD</t>
  </si>
  <si>
    <t>2.3.5</t>
  </si>
  <si>
    <t>Identidad de Equipo</t>
  </si>
  <si>
    <t>2.3.6</t>
  </si>
  <si>
    <t>Historias de Usuario</t>
  </si>
  <si>
    <t>2.3.7</t>
  </si>
  <si>
    <t>User Story Mapping</t>
  </si>
  <si>
    <t>2.3.8</t>
  </si>
  <si>
    <t>Funcionalidades Bloqueantes</t>
  </si>
  <si>
    <t>2.3.9</t>
  </si>
  <si>
    <t>Conformacion de Equipo</t>
  </si>
  <si>
    <t>Se realiza proceso a 75 candidatos</t>
  </si>
  <si>
    <t>3</t>
  </si>
  <si>
    <t>FT Liquidacion Pagos Habilitadoras</t>
  </si>
  <si>
    <t>Habilitadoras de Pagos Locales</t>
  </si>
  <si>
    <t>TECNICA FEATURE</t>
  </si>
  <si>
    <t>3.1</t>
  </si>
  <si>
    <t>Analisis &amp; Diseños</t>
  </si>
  <si>
    <t>3.1.1</t>
  </si>
  <si>
    <t>Liquidacion Local HOST</t>
  </si>
  <si>
    <t>3.1.1.1</t>
  </si>
  <si>
    <t>Analisis</t>
  </si>
  <si>
    <t>Capa Gestora Netcash</t>
  </si>
  <si>
    <t>HOST</t>
  </si>
  <si>
    <t>3.1.1.4</t>
  </si>
  <si>
    <t>Cuentas Personales MIR Batch</t>
  </si>
  <si>
    <t>3.1.1.5</t>
  </si>
  <si>
    <t>Cuentas Personales Impacto Procesamiento Linea</t>
  </si>
  <si>
    <t>3.1.1.10</t>
  </si>
  <si>
    <t>MIR Ligera Transferencias MEX (Rutina)</t>
  </si>
  <si>
    <t>3.1.1.12</t>
  </si>
  <si>
    <t>Capa Gestora (Rutina Online)</t>
  </si>
  <si>
    <t>MIR Ligera Transferencias (Rutina)</t>
  </si>
  <si>
    <t>Transferencias Propio Banco (Tx)</t>
  </si>
  <si>
    <t>Diseño Tecnico Revision</t>
  </si>
  <si>
    <t>Transferencias Propio Banco (Rutina-Tx)</t>
  </si>
  <si>
    <t>Capa Gestora (Rutina Batch) para CA</t>
  </si>
  <si>
    <t>3.1.1.2</t>
  </si>
  <si>
    <t>Cuentas Personales OZ88 - OZ89</t>
  </si>
  <si>
    <t>3.1.1.3</t>
  </si>
  <si>
    <t>Cuentas Personales MIR Online</t>
  </si>
  <si>
    <t>3.1.1.6</t>
  </si>
  <si>
    <t>MIR Ligera Nominas MEX (Rutina)</t>
  </si>
  <si>
    <t>3.1.1.9</t>
  </si>
  <si>
    <t>Fraude (Monitor Plus)</t>
  </si>
  <si>
    <t>MIR Ligera Nominas (Rutina)</t>
  </si>
  <si>
    <t>Nominas Propio Banco (Tx)</t>
  </si>
  <si>
    <t>Nominas Propio Banco (Rutina-Tx)</t>
  </si>
  <si>
    <t>Interbancarias (Tx)</t>
  </si>
  <si>
    <t>3.1.1.7</t>
  </si>
  <si>
    <t>Cargos y Abonos procesamiento Netcash</t>
  </si>
  <si>
    <t>3.1.1.8</t>
  </si>
  <si>
    <t xml:space="preserve">Cargos y Abonos Reporteria procesamiento Netcash </t>
  </si>
  <si>
    <t>MIR Ligera Interbancarias MEX (Rutina)</t>
  </si>
  <si>
    <t>Mir Ligera (Rutina Batch) Cargos y Abonos</t>
  </si>
  <si>
    <t>LT - Ronald Romero</t>
  </si>
  <si>
    <t>Ajuste Malla CA incluir Capa Gestora</t>
  </si>
  <si>
    <t>Ajuste SRC CA incluir Capa Gestora</t>
  </si>
  <si>
    <t>Ajuste Malla CA respuesta de pagos</t>
  </si>
  <si>
    <t>Ajuste SRC CA respuesta de pagos</t>
  </si>
  <si>
    <t xml:space="preserve">Diseño Tecnico </t>
  </si>
  <si>
    <t xml:space="preserve">Proceso Batch genera Evento SEMaas estado pagos </t>
  </si>
  <si>
    <t>3.1.2</t>
  </si>
  <si>
    <t>Liquidacion Local APX</t>
  </si>
  <si>
    <t>3.1.2.1</t>
  </si>
  <si>
    <t>Capa Gestora Netcash KUSU</t>
  </si>
  <si>
    <t>APX - Felipe Gutierrez</t>
  </si>
  <si>
    <t>APX</t>
  </si>
  <si>
    <t>3.1.2.2</t>
  </si>
  <si>
    <t>Cuentas Personales KSAN</t>
  </si>
  <si>
    <t>3.1.2.3</t>
  </si>
  <si>
    <t>Personas KBTQ</t>
  </si>
  <si>
    <t>3.1.2.5</t>
  </si>
  <si>
    <t>Libreria multipais de liquidación</t>
  </si>
  <si>
    <t>3.1.2.6</t>
  </si>
  <si>
    <t>3.1.3</t>
  </si>
  <si>
    <t>Contrato de Datos APX - HOST</t>
  </si>
  <si>
    <t>3.1.3.1</t>
  </si>
  <si>
    <t>Nominas BBVA</t>
  </si>
  <si>
    <t>3.1.3.2</t>
  </si>
  <si>
    <t>Interbancarias</t>
  </si>
  <si>
    <t>3.1.3.3</t>
  </si>
  <si>
    <t>Transferencias BBVA</t>
  </si>
  <si>
    <t>3.1.4</t>
  </si>
  <si>
    <t>Entregables Diseño Tecnico</t>
  </si>
  <si>
    <t>3.1.4.4</t>
  </si>
  <si>
    <t>Sesion Entendimiento con Aplicativo</t>
  </si>
  <si>
    <t>Agendar sesion</t>
  </si>
  <si>
    <t>Revision y Aprobacion Aplicativo</t>
  </si>
  <si>
    <t>3.1.4.5</t>
  </si>
  <si>
    <t>3.1.4.6</t>
  </si>
  <si>
    <t>3.1.4.7</t>
  </si>
  <si>
    <t>3.1.4.8</t>
  </si>
  <si>
    <t>3.2</t>
  </si>
  <si>
    <t>Base de Datos HOST</t>
  </si>
  <si>
    <t>3.2.1</t>
  </si>
  <si>
    <t>Desarrollo</t>
  </si>
  <si>
    <t>3.2.1.1</t>
  </si>
  <si>
    <t>Modelado</t>
  </si>
  <si>
    <t>Gobierno</t>
  </si>
  <si>
    <t>3.2.1.2</t>
  </si>
  <si>
    <t xml:space="preserve">CRQ implementacion </t>
  </si>
  <si>
    <t>3.2.1.3</t>
  </si>
  <si>
    <t>Documentacion</t>
  </si>
  <si>
    <t>3.2.2</t>
  </si>
  <si>
    <t>Calidad</t>
  </si>
  <si>
    <t>3.2.2.1</t>
  </si>
  <si>
    <t>3.2.2.2</t>
  </si>
  <si>
    <t>QA - Edson Suarez</t>
  </si>
  <si>
    <t>3.2.2.3</t>
  </si>
  <si>
    <t>Certificacion Usuarios y Areas de Valor</t>
  </si>
  <si>
    <t>3.2.3</t>
  </si>
  <si>
    <t>Produccion</t>
  </si>
  <si>
    <t>3.2.3.1</t>
  </si>
  <si>
    <t>Comite de Cambios</t>
  </si>
  <si>
    <t>3.2.3.2</t>
  </si>
  <si>
    <t>Instalacion</t>
  </si>
  <si>
    <t>4</t>
  </si>
  <si>
    <t>FT Orquestadora Local APX</t>
  </si>
  <si>
    <t>Transaccion APX Orquestadora Local</t>
  </si>
  <si>
    <t>4.1</t>
  </si>
  <si>
    <t>Multipais Liquidación</t>
  </si>
  <si>
    <t>4.1.1</t>
  </si>
  <si>
    <t>Crear rama feature a partir de develop</t>
  </si>
  <si>
    <t>4.1.2</t>
  </si>
  <si>
    <t>Desarrollo y test en la rama feature</t>
  </si>
  <si>
    <t>4.1.3</t>
  </si>
  <si>
    <t>Mergear la rama feature a develop</t>
  </si>
  <si>
    <t>4.1.4</t>
  </si>
  <si>
    <t>Creacion de Propiedades</t>
  </si>
  <si>
    <t>Pruebas Unitarias</t>
  </si>
  <si>
    <t>Pruebas en desarrollo y test desde rama develop</t>
  </si>
  <si>
    <t>4.1.5</t>
  </si>
  <si>
    <t>Generar rama release desde develop</t>
  </si>
  <si>
    <t>5.2.2</t>
  </si>
  <si>
    <t>Desplegar rama release en todos los ambientes</t>
  </si>
  <si>
    <t>Pruebas en calidad y octa</t>
  </si>
  <si>
    <t>Bug - Rama Hotfix</t>
  </si>
  <si>
    <t>Merge Hotfix a Release</t>
  </si>
  <si>
    <t>4.1.6</t>
  </si>
  <si>
    <t>5</t>
  </si>
  <si>
    <t>Transferencias Propio Banco</t>
  </si>
  <si>
    <t>5.1</t>
  </si>
  <si>
    <t>5.1.1</t>
  </si>
  <si>
    <t>Transaccion HOST</t>
  </si>
  <si>
    <t>Implementacion Codigo</t>
  </si>
  <si>
    <t xml:space="preserve">Arquitectura Creacion Tx </t>
  </si>
  <si>
    <t>5.1.2</t>
  </si>
  <si>
    <t>Validaciones Dinamicas Tx</t>
  </si>
  <si>
    <t>5.1.3</t>
  </si>
  <si>
    <t>5.2</t>
  </si>
  <si>
    <t>5.2.1</t>
  </si>
  <si>
    <t>Despliegue en Calidad</t>
  </si>
  <si>
    <t>Perfilado RACF</t>
  </si>
  <si>
    <t>Arquitectura</t>
  </si>
  <si>
    <t>5.2.3</t>
  </si>
  <si>
    <t>Postman</t>
  </si>
  <si>
    <t>Pruebas de Integracion APX-HOST</t>
  </si>
  <si>
    <t>CERTIFICACION</t>
  </si>
  <si>
    <t>5.2.4</t>
  </si>
  <si>
    <t>Certificacion</t>
  </si>
  <si>
    <t>5.2.5</t>
  </si>
  <si>
    <t>Vbo areas de valor</t>
  </si>
  <si>
    <t>5.3</t>
  </si>
  <si>
    <t>5.3.1</t>
  </si>
  <si>
    <t xml:space="preserve">Instalar Expedientes </t>
  </si>
  <si>
    <t>Alta Propiedades</t>
  </si>
  <si>
    <t>5.3.2</t>
  </si>
  <si>
    <t>Perfilado ALAMBRA</t>
  </si>
  <si>
    <t>5.3.3</t>
  </si>
  <si>
    <t>SOPORTE</t>
  </si>
  <si>
    <t>APX - Thalia Manrique</t>
  </si>
  <si>
    <t>ASO</t>
  </si>
  <si>
    <t>CELLS - Nicolas Moreno</t>
  </si>
  <si>
    <t>CELLS</t>
  </si>
  <si>
    <t>Despliegue de los servicios de streaming</t>
  </si>
  <si>
    <t>Perfilado de los servicios ASO</t>
  </si>
  <si>
    <t>Solicitud de consumos</t>
  </si>
  <si>
    <t>Despliegue componentes del Supervisor</t>
  </si>
  <si>
    <t>Configuración de las deadletters</t>
  </si>
  <si>
    <t>Alarmado de SeeMas y monitoreo de Deadletters</t>
  </si>
  <si>
    <t>Perfilado de las transacciones APX asociadas a SeeMas</t>
  </si>
  <si>
    <t>Creación de las variables de entorno APX de acceso a la BBDD</t>
  </si>
  <si>
    <t>Pruebas Integrales DEV</t>
  </si>
  <si>
    <t xml:space="preserve">Pruebas Integrales </t>
  </si>
  <si>
    <t>Ciclo 1 - Pruebas</t>
  </si>
  <si>
    <t>Ciclo 1 - Ajustes Holding / Locales</t>
  </si>
  <si>
    <t>Ciclo 2 - Pruebas</t>
  </si>
  <si>
    <t>Ciclo 2 - Ajustes Holding / Locales</t>
  </si>
  <si>
    <t>Ciclo 3 - Pruebas</t>
  </si>
  <si>
    <t>Despliegue Componentes QA</t>
  </si>
  <si>
    <t>ASO - Yesid Sanchez</t>
  </si>
  <si>
    <t>Configuración de los eventos SeeMas de la fase de liquidación</t>
  </si>
  <si>
    <t>Despliegue de las librerias APX de la fase de incorporación</t>
  </si>
  <si>
    <t>Despliegue de las librerias APX necesarias para la paginación</t>
  </si>
  <si>
    <t>Despliegue de las librerias APX necesarias para la liquidación</t>
  </si>
  <si>
    <t>Despliegue librerias escritura tracking</t>
  </si>
  <si>
    <t>Solicitar visibilidad sobre los componentes de KTRA</t>
  </si>
  <si>
    <t>Despliegue librerias escritura en JBSY (monitor)</t>
  </si>
  <si>
    <t>Solicitar visibilidad sobre los componentes de JBSY</t>
  </si>
  <si>
    <t>Despliegue componentes CELLS</t>
  </si>
  <si>
    <t>OCTA</t>
  </si>
  <si>
    <t>Ciclo 3 - E2E Pruebas</t>
  </si>
  <si>
    <t>Componentes Globales con Vbo Global</t>
  </si>
  <si>
    <t>Ciclo 3 - Ajustes Holding / Locales</t>
  </si>
  <si>
    <t>Hacking Etico</t>
  </si>
  <si>
    <t>Ciclo 3 - Vulnerabilidad Pruebas</t>
  </si>
  <si>
    <t>Ciclo 4 - Pruebas</t>
  </si>
  <si>
    <t>Vistos Buenos</t>
  </si>
  <si>
    <t>Aprobacion</t>
  </si>
  <si>
    <t>Envio de Vistos Buenos</t>
  </si>
  <si>
    <t>Visto Bueno Contabilidad</t>
  </si>
  <si>
    <t>Visto Bueno Cuentas Personales</t>
  </si>
  <si>
    <t>Visto Bueno Cargos y Abonos</t>
  </si>
  <si>
    <t>Visto Bueno Metricas</t>
  </si>
  <si>
    <t>Visto Bueno Fraude</t>
  </si>
  <si>
    <t>Visto Bueno OCTA</t>
  </si>
  <si>
    <t>Visto Bueno Cumplimiento</t>
  </si>
  <si>
    <t>Visto Bueno Tecnico</t>
  </si>
  <si>
    <t>Visto Bueno Usuario Enterprise</t>
  </si>
  <si>
    <t>Producción</t>
  </si>
  <si>
    <t>Componentes APX</t>
  </si>
  <si>
    <t>Despliegue Transacciones, Libreriras - Consola</t>
  </si>
  <si>
    <t>PerfiladoTransacciones, Libreriras</t>
  </si>
  <si>
    <t>Componentes APX Eventos</t>
  </si>
  <si>
    <t>Despliegue SEMaas - Consola</t>
  </si>
  <si>
    <t>Componentes APX BBDD</t>
  </si>
  <si>
    <t>Despliegue BBDD</t>
  </si>
  <si>
    <t>Componentes ASO</t>
  </si>
  <si>
    <t>Despliegue Servicios - Consola</t>
  </si>
  <si>
    <t>Componentes CELLS</t>
  </si>
  <si>
    <t>Despliegue CELLS - Consola</t>
  </si>
  <si>
    <t>Componentes HOST</t>
  </si>
  <si>
    <t>Despliegue HOST expedientes</t>
  </si>
  <si>
    <t>17.1</t>
  </si>
  <si>
    <t>17.1.1</t>
  </si>
  <si>
    <t>17.1.2</t>
  </si>
  <si>
    <t>17.1.3</t>
  </si>
  <si>
    <t>17.1.4</t>
  </si>
  <si>
    <t>17.1.5</t>
  </si>
  <si>
    <t>17.2</t>
  </si>
  <si>
    <t>17.2.1</t>
  </si>
  <si>
    <t>17.2.2</t>
  </si>
  <si>
    <t>17.2.3</t>
  </si>
  <si>
    <t>17.2.4</t>
  </si>
  <si>
    <t>17.2.5</t>
  </si>
  <si>
    <t>17.2.6</t>
  </si>
  <si>
    <t>17.2.7</t>
  </si>
  <si>
    <t>17.2.8</t>
  </si>
  <si>
    <t>17.2.9</t>
  </si>
  <si>
    <t>17.2.10</t>
  </si>
  <si>
    <t>17.2.11</t>
  </si>
  <si>
    <t>17.2.12</t>
  </si>
  <si>
    <t>17.2.13</t>
  </si>
  <si>
    <t>17.2.14</t>
  </si>
  <si>
    <t>17.2.15</t>
  </si>
  <si>
    <t>17.2.16</t>
  </si>
  <si>
    <t>17.2.17</t>
  </si>
  <si>
    <t>17.3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</si>
  <si>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</si>
  <si>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</si>
  <si>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</si>
  <si>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</si>
  <si>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</si>
  <si>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</si>
  <si>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</si>
  <si>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</si>
  <si>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17.3.9</t>
  </si>
  <si>
    <t>17.4</t>
  </si>
  <si>
    <t>17.4.1</t>
  </si>
  <si>
    <t>17.4.2</t>
  </si>
  <si>
    <t>17.4.3</t>
  </si>
  <si>
    <t>17.4.4</t>
  </si>
  <si>
    <t>17.4.5</t>
  </si>
  <si>
    <t>17.4.6</t>
  </si>
  <si>
    <t>17.4.7</t>
  </si>
  <si>
    <t>17.4.8</t>
  </si>
  <si>
    <t>17.4.9</t>
  </si>
  <si>
    <t>17.4.10</t>
  </si>
  <si>
    <t>17.5</t>
  </si>
  <si>
    <t>17.5.1</t>
  </si>
  <si>
    <t>17.5.2</t>
  </si>
  <si>
    <t>17.5.3</t>
  </si>
  <si>
    <t>17.5.4</t>
  </si>
  <si>
    <t>17.5.5</t>
  </si>
  <si>
    <t>17.5.6</t>
  </si>
  <si>
    <t>17.5.7</t>
  </si>
  <si>
    <t>17.5.8</t>
  </si>
  <si>
    <t>Cargo</t>
  </si>
  <si>
    <t>Nombre</t>
  </si>
  <si>
    <t>Usuario</t>
  </si>
  <si>
    <t xml:space="preserve">Correo </t>
  </si>
  <si>
    <t>Concatena</t>
  </si>
  <si>
    <t>Empresa</t>
  </si>
  <si>
    <t>Ingreso</t>
  </si>
  <si>
    <t>Salida</t>
  </si>
  <si>
    <t>Celular</t>
  </si>
  <si>
    <t>Cumpleaños</t>
  </si>
  <si>
    <t>Proveedor</t>
  </si>
  <si>
    <t>LT</t>
  </si>
  <si>
    <t>Ronald Romero</t>
  </si>
  <si>
    <t>PO</t>
  </si>
  <si>
    <t>AQ</t>
  </si>
  <si>
    <t>SM</t>
  </si>
  <si>
    <t>EQ Scrum</t>
  </si>
  <si>
    <t xml:space="preserve">AQ - </t>
  </si>
  <si>
    <t xml:space="preserve">SM - </t>
  </si>
  <si>
    <t xml:space="preserve">PO - </t>
  </si>
  <si>
    <t xml:space="preserve">FT Transferencias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</si>
</sst>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Arial"/>
      <scheme val="minor"/>
    </font>
    <font>
      <b/>
      <sz val="11"/>
      <color rgb="FFFFFFFF"/>
      <name val="Roboto"/>
    </font>
    <font>
      <sz val="10"/>
      <color theme="1"/>
      <name val="Arial"/>
    </font>
    <font>
      <b/>
      <i/>
      <sz val="12"/>
      <color theme="1"/>
      <name val="Arial"/>
      <scheme val="minor"/>
    </font>
    <font>
      <b/>
      <i/>
      <sz val="10"/>
      <color theme="1"/>
      <name val="Arial"/>
      <scheme val="minor"/>
    </font>
    <font>
      <b/>
      <i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i/>
      <sz val="12"/>
      <color theme="1"/>
      <name val="Arial"/>
      <scheme val="minor"/>
    </font>
    <font>
      <b/>
      <i/>
      <sz val="8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1"/>
      <color rgb="FF000000"/>
      <name val="Inconsolata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0" fontId="1" fillId="2" borderId="2" xfId="0" applyNumberFormat="1" applyFont="1" applyFill="1" applyBorder="1" applyAlignment="1">
      <alignment horizontal="center"/>
    </xf>
    <xf numFmtId="0" fontId="2" fillId="0" borderId="0" xfId="0" applyFont="1"/>
    <xf numFmtId="49" fontId="3" fillId="3" borderId="0" xfId="0" applyNumberFormat="1" applyFont="1" applyFill="1" applyAlignment="1">
      <alignment horizontal="center"/>
    </xf>
    <xf numFmtId="0" fontId="3" fillId="3" borderId="0" xfId="0" applyFont="1" applyFill="1" applyAlignment="1"/>
    <xf numFmtId="0" fontId="4" fillId="3" borderId="0" xfId="0" applyFont="1" applyFill="1" applyAlignment="1"/>
    <xf numFmtId="0" fontId="5" fillId="3" borderId="0" xfId="0" applyFont="1" applyFill="1" applyAlignment="1"/>
    <xf numFmtId="14" fontId="3" fillId="3" borderId="0" xfId="0" applyNumberFormat="1" applyFont="1" applyFill="1" applyAlignment="1"/>
    <xf numFmtId="0" fontId="3" fillId="3" borderId="0" xfId="0" applyFont="1" applyFill="1"/>
    <xf numFmtId="10" fontId="3" fillId="3" borderId="0" xfId="0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/>
    <xf numFmtId="14" fontId="6" fillId="0" borderId="0" xfId="0" applyNumberFormat="1" applyFont="1" applyAlignment="1"/>
    <xf numFmtId="0" fontId="6" fillId="0" borderId="0" xfId="0" applyFont="1"/>
    <xf numFmtId="10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49" fontId="7" fillId="4" borderId="0" xfId="0" applyNumberFormat="1" applyFont="1" applyFill="1" applyAlignment="1">
      <alignment horizontal="center"/>
    </xf>
    <xf numFmtId="0" fontId="7" fillId="4" borderId="0" xfId="0" applyFont="1" applyFill="1" applyAlignment="1"/>
    <xf numFmtId="0" fontId="7" fillId="4" borderId="0" xfId="0" applyFont="1" applyFill="1"/>
    <xf numFmtId="14" fontId="7" fillId="4" borderId="0" xfId="0" applyNumberFormat="1" applyFont="1" applyFill="1" applyAlignment="1"/>
    <xf numFmtId="10" fontId="7" fillId="4" borderId="0" xfId="0" applyNumberFormat="1" applyFont="1" applyFill="1" applyAlignment="1">
      <alignment horizontal="center"/>
    </xf>
    <xf numFmtId="0" fontId="8" fillId="0" borderId="0" xfId="0" applyFont="1"/>
    <xf numFmtId="0" fontId="9" fillId="3" borderId="0" xfId="0" applyFont="1" applyFill="1" applyAlignment="1"/>
    <xf numFmtId="0" fontId="10" fillId="3" borderId="0" xfId="0" applyFont="1" applyFill="1" applyAlignment="1"/>
    <xf numFmtId="49" fontId="11" fillId="0" borderId="0" xfId="0" applyNumberFormat="1" applyFont="1" applyAlignment="1">
      <alignment horizontal="center"/>
    </xf>
    <xf numFmtId="0" fontId="11" fillId="0" borderId="0" xfId="0" applyFont="1" applyAlignment="1"/>
    <xf numFmtId="0" fontId="11" fillId="0" borderId="0" xfId="0" applyFont="1"/>
    <xf numFmtId="14" fontId="11" fillId="0" borderId="0" xfId="0" applyNumberFormat="1" applyFont="1" applyAlignment="1"/>
    <xf numFmtId="10" fontId="11" fillId="0" borderId="0" xfId="0" applyNumberFormat="1" applyFont="1" applyAlignment="1">
      <alignment horizontal="center"/>
    </xf>
    <xf numFmtId="0" fontId="2" fillId="0" borderId="0" xfId="0" applyFont="1" applyAlignment="1"/>
    <xf numFmtId="49" fontId="2" fillId="0" borderId="0" xfId="0" applyNumberFormat="1" applyFont="1" applyAlignment="1">
      <alignment horizontal="center"/>
    </xf>
    <xf numFmtId="0" fontId="2" fillId="0" borderId="0" xfId="0" applyFont="1" applyAlignment="1"/>
    <xf numFmtId="14" fontId="2" fillId="0" borderId="0" xfId="0" applyNumberFormat="1" applyFont="1" applyAlignment="1">
      <alignment horizontal="right"/>
    </xf>
    <xf numFmtId="0" fontId="2" fillId="0" borderId="0" xfId="0" applyFont="1" applyAlignment="1"/>
    <xf numFmtId="14" fontId="2" fillId="0" borderId="0" xfId="0" applyNumberFormat="1" applyFont="1" applyAlignment="1"/>
    <xf numFmtId="0" fontId="2" fillId="3" borderId="0" xfId="0" applyFont="1" applyFill="1" applyAlignment="1"/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12" fillId="0" borderId="0" xfId="0" applyFont="1" applyAlignment="1"/>
    <xf numFmtId="14" fontId="6" fillId="0" borderId="0" xfId="0" applyNumberFormat="1" applyFont="1"/>
    <xf numFmtId="14" fontId="6" fillId="0" borderId="0" xfId="0" applyNumberFormat="1" applyFont="1"/>
    <xf numFmtId="10" fontId="11" fillId="0" borderId="0" xfId="0" applyNumberFormat="1" applyFont="1" applyAlignment="1">
      <alignment horizontal="center"/>
    </xf>
    <xf numFmtId="49" fontId="13" fillId="5" borderId="0" xfId="0" applyNumberFormat="1" applyFont="1" applyFill="1" applyAlignment="1">
      <alignment horizontal="center"/>
    </xf>
    <xf numFmtId="14" fontId="6" fillId="0" borderId="0" xfId="0" applyNumberFormat="1" applyFont="1" applyAlignment="1"/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3" xfId="0" applyFont="1" applyBorder="1"/>
    <xf numFmtId="14" fontId="6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5">
    <dxf>
      <font>
        <b/>
        <color rgb="FF000000"/>
      </font>
      <fill>
        <patternFill patternType="solid">
          <fgColor rgb="FFE69138"/>
          <bgColor rgb="FFE69138"/>
        </patternFill>
      </fill>
    </dxf>
    <dxf>
      <font>
        <b/>
        <color rgb="FF000000"/>
      </font>
      <fill>
        <patternFill patternType="solid">
          <fgColor rgb="FFF6B26B"/>
          <bgColor rgb="FFF6B26B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D367"/>
  <sheetViews>
    <sheetView tabSelected="1" topLeftCell="A133" workbookViewId="0">
      <selection activeCell="B133" sqref="B133"/>
    </sheetView>
  </sheetViews>
  <sheetFormatPr baseColWidth="10" defaultColWidth="12.5703125" defaultRowHeight="15.75" customHeight="1" outlineLevelRow="3"/>
  <cols>
    <col min="1" max="1" width="6.28515625" customWidth="1"/>
    <col min="2" max="2" width="34.7109375" customWidth="1"/>
    <col min="3" max="3" width="41.140625" customWidth="1"/>
    <col min="4" max="4" width="21.85546875" customWidth="1"/>
    <col min="5" max="5" width="18.140625" customWidth="1"/>
    <col min="10" max="10" width="26.42578125" customWidth="1"/>
    <col min="12" max="13" width="9.85546875" customWidth="1"/>
    <col min="14" max="14" width="7.5703125" customWidth="1"/>
  </cols>
  <sheetData>
    <row r="1" spans="1:30" ht="30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4" t="s">
        <v>10</v>
      </c>
      <c r="L1" s="5" t="s">
        <v>11</v>
      </c>
      <c r="M1" s="5" t="s">
        <v>12</v>
      </c>
      <c r="N1" s="2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>
      <c r="A2" s="7" t="s">
        <v>14</v>
      </c>
      <c r="B2" s="8" t="s">
        <v>15</v>
      </c>
      <c r="C2" s="9" t="s">
        <v>16</v>
      </c>
      <c r="D2" s="10" t="s">
        <v>17</v>
      </c>
      <c r="E2" s="8"/>
      <c r="F2" s="11">
        <f>MIN(F3:F135)</f>
        <v>44866</v>
      </c>
      <c r="G2" s="11">
        <f>MAX(G3:G135)</f>
        <v>45094</v>
      </c>
      <c r="H2" s="11"/>
      <c r="I2" s="11"/>
      <c r="J2" s="12"/>
      <c r="K2" s="12" t="e">
        <f t="shared" ca="1" si="0"/>
        <v>#NAME?</v>
      </c>
      <c r="L2" s="13">
        <f t="shared" ref="L2:M2" si="0">AVERAGE(L3,L6,L32)</f>
        <v>0.66410108024691372</v>
      </c>
      <c r="M2" s="13" t="e">
        <f t="shared" ca="1" si="0"/>
        <v>#NAME?</v>
      </c>
      <c r="N2" s="12">
        <f t="shared" si="2"/>
        <v>228</v>
      </c>
    </row>
    <row r="3" spans="1:30" ht="15">
      <c r="A3" s="7" t="s">
        <v>18</v>
      </c>
      <c r="B3" s="8" t="s">
        <v>19</v>
      </c>
      <c r="C3" s="9"/>
      <c r="D3" s="8"/>
      <c r="E3" s="8"/>
      <c r="F3" s="11">
        <f>MIN(F4:F5)</f>
        <v>44866</v>
      </c>
      <c r="G3" s="11">
        <f>MAX(G4:G5)</f>
        <v>44895</v>
      </c>
      <c r="H3" s="11"/>
      <c r="I3" s="11"/>
      <c r="J3" s="12"/>
      <c r="K3" s="12" t="e">
        <f t="shared" ca="1" si="0"/>
        <v>#NAME?</v>
      </c>
      <c r="L3" s="13">
        <f t="shared" ref="L3:M3" si="1">AVERAGE(L4:L5)</f>
        <v>1</v>
      </c>
      <c r="M3" s="13" t="e">
        <f t="shared" ca="1" si="1"/>
        <v>#NAME?</v>
      </c>
      <c r="N3" s="12">
        <f t="shared" si="2"/>
        <v>29</v>
      </c>
    </row>
    <row r="4" spans="1:30" ht="12.75" outlineLevel="1">
      <c r="A4" s="14" t="s">
        <v>20</v>
      </c>
      <c r="B4" s="15" t="s">
        <v>21</v>
      </c>
      <c r="C4" s="15" t="s">
        <v>22</v>
      </c>
      <c r="D4" s="15"/>
      <c r="E4" s="15" t="s">
        <v>24</v>
      </c>
      <c r="F4" s="16">
        <v>44866</v>
      </c>
      <c r="G4" s="16">
        <v>44885</v>
      </c>
      <c r="H4" s="16"/>
      <c r="I4" s="16"/>
      <c r="K4" s="17" t="e">
        <f t="shared" ca="1" si="0"/>
        <v>#NAME?</v>
      </c>
      <c r="L4" s="18">
        <v>1</v>
      </c>
      <c r="M4" s="19" t="e">
        <f t="shared" ref="M4:M5" ca="1" si="2">IFS(L4=1,1,F4=TODAY(),0,(AND(F4=G4,F4=TODAY())),(NOW()-TODAY()),(TODAY()-F4)/N4&gt;=1,1,(TODAY()-F4)/N4&lt;0,0,AND((TODAY()-F4)/N4&lt;1,(TODAY()-F4)/N4&gt;0),(TODAY()-F4)/N4)</f>
        <v>#NAME?</v>
      </c>
      <c r="N4" s="17">
        <f t="shared" si="2"/>
        <v>19</v>
      </c>
    </row>
    <row r="5" spans="1:30" ht="12.75" outlineLevel="1">
      <c r="A5" s="14" t="s">
        <v>25</v>
      </c>
      <c r="B5" s="15" t="s">
        <v>21</v>
      </c>
      <c r="C5" s="15" t="s">
        <v>26</v>
      </c>
      <c r="D5" s="15"/>
      <c r="E5" s="15" t="s">
        <v>24</v>
      </c>
      <c r="F5" s="16">
        <v>44880</v>
      </c>
      <c r="G5" s="16">
        <v>44895</v>
      </c>
      <c r="H5" s="16"/>
      <c r="I5" s="16"/>
      <c r="K5" s="17" t="e">
        <f t="shared" ca="1" si="0"/>
        <v>#NAME?</v>
      </c>
      <c r="L5" s="18">
        <v>1</v>
      </c>
      <c r="M5" s="19" t="e">
        <f t="shared" ca="1" si="2"/>
        <v>#NAME?</v>
      </c>
      <c r="N5" s="17">
        <f t="shared" si="2"/>
        <v>15</v>
      </c>
    </row>
    <row r="6" spans="1:30" ht="15">
      <c r="A6" s="7" t="s">
        <v>27</v>
      </c>
      <c r="B6" s="8" t="s">
        <v>28</v>
      </c>
      <c r="C6" s="9"/>
      <c r="D6" s="8"/>
      <c r="E6" s="8"/>
      <c r="F6" s="11">
        <f>MIN(F7:F31)</f>
        <v>44873</v>
      </c>
      <c r="G6" s="11">
        <f>MAX(G7:G31)</f>
        <v>44964</v>
      </c>
      <c r="H6" s="11"/>
      <c r="I6" s="11"/>
      <c r="J6" s="12"/>
      <c r="K6" s="12" t="e">
        <f t="shared" ca="1" si="0"/>
        <v>#NAME?</v>
      </c>
      <c r="L6" s="13">
        <f t="shared" ref="L6:M6" si="3">AVERAGE(L7,L12,L22)</f>
        <v>0.9740740740740742</v>
      </c>
      <c r="M6" s="13" t="e">
        <f t="shared" ca="1" si="3"/>
        <v>#NAME?</v>
      </c>
      <c r="N6" s="12">
        <f t="shared" si="2"/>
        <v>91</v>
      </c>
    </row>
    <row r="7" spans="1:30" ht="15" outlineLevel="1">
      <c r="A7" s="20" t="s">
        <v>29</v>
      </c>
      <c r="B7" s="21" t="s">
        <v>30</v>
      </c>
      <c r="C7" s="22"/>
      <c r="D7" s="21"/>
      <c r="E7" s="21"/>
      <c r="F7" s="23">
        <f>MIN(F8:F11)</f>
        <v>44873</v>
      </c>
      <c r="G7" s="23">
        <f>MAX(G8:G11)</f>
        <v>44924</v>
      </c>
      <c r="H7" s="23"/>
      <c r="I7" s="23"/>
      <c r="J7" s="22"/>
      <c r="K7" s="22" t="e">
        <f t="shared" ca="1" si="0"/>
        <v>#NAME?</v>
      </c>
      <c r="L7" s="24">
        <f t="shared" ref="L7:M7" si="4">AVERAGE(L8:L11)</f>
        <v>1</v>
      </c>
      <c r="M7" s="24" t="e">
        <f t="shared" ca="1" si="4"/>
        <v>#NAME?</v>
      </c>
      <c r="N7" s="22">
        <f t="shared" si="2"/>
        <v>51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spans="1:30" ht="12.75" outlineLevel="2">
      <c r="A8" s="14" t="s">
        <v>31</v>
      </c>
      <c r="B8" s="15" t="s">
        <v>30</v>
      </c>
      <c r="C8" s="15" t="s">
        <v>32</v>
      </c>
      <c r="D8" s="15"/>
      <c r="E8" s="15" t="s">
        <v>24</v>
      </c>
      <c r="F8" s="16">
        <v>44873</v>
      </c>
      <c r="G8" s="16">
        <v>44873</v>
      </c>
      <c r="H8" s="16"/>
      <c r="I8" s="16"/>
      <c r="K8" s="17" t="e">
        <f t="shared" ca="1" si="0"/>
        <v>#NAME?</v>
      </c>
      <c r="L8" s="18">
        <v>1</v>
      </c>
      <c r="M8" s="19" t="e">
        <f t="shared" ref="M8:M11" ca="1" si="5">IFS(L8=1,1,F8=TODAY(),0,(AND(F8=G8,F8=TODAY())),(NOW()-TODAY()),(TODAY()-F8)/N8&gt;=1,1,(TODAY()-F8)/N8&lt;0,0,AND((TODAY()-F8)/N8&lt;1,(TODAY()-F8)/N8&gt;0),(TODAY()-F8)/N8)</f>
        <v>#NAME?</v>
      </c>
      <c r="N8" s="17">
        <f t="shared" si="2"/>
        <v>1</v>
      </c>
    </row>
    <row r="9" spans="1:30" ht="12.75" outlineLevel="2">
      <c r="A9" s="14" t="s">
        <v>33</v>
      </c>
      <c r="B9" s="15" t="s">
        <v>30</v>
      </c>
      <c r="C9" s="15" t="s">
        <v>34</v>
      </c>
      <c r="D9" s="15"/>
      <c r="E9" s="15" t="s">
        <v>24</v>
      </c>
      <c r="F9" s="16">
        <v>44873</v>
      </c>
      <c r="G9" s="16">
        <v>44898</v>
      </c>
      <c r="H9" s="16"/>
      <c r="I9" s="16"/>
      <c r="K9" s="17" t="e">
        <f t="shared" ca="1" si="0"/>
        <v>#NAME?</v>
      </c>
      <c r="L9" s="18">
        <v>1</v>
      </c>
      <c r="M9" s="19" t="e">
        <f t="shared" ca="1" si="5"/>
        <v>#NAME?</v>
      </c>
      <c r="N9" s="17">
        <f t="shared" si="2"/>
        <v>25</v>
      </c>
    </row>
    <row r="10" spans="1:30" ht="12.75" outlineLevel="2">
      <c r="A10" s="14" t="s">
        <v>35</v>
      </c>
      <c r="B10" s="15" t="s">
        <v>30</v>
      </c>
      <c r="C10" s="15" t="s">
        <v>36</v>
      </c>
      <c r="D10" s="15" t="s">
        <v>375</v>
      </c>
      <c r="E10" s="15" t="s">
        <v>24</v>
      </c>
      <c r="F10" s="16">
        <v>44873</v>
      </c>
      <c r="G10" s="16">
        <v>44898</v>
      </c>
      <c r="H10" s="16"/>
      <c r="I10" s="16"/>
      <c r="K10" s="17" t="e">
        <f t="shared" ca="1" si="0"/>
        <v>#NAME?</v>
      </c>
      <c r="L10" s="18">
        <v>1</v>
      </c>
      <c r="M10" s="19" t="e">
        <f t="shared" ca="1" si="5"/>
        <v>#NAME?</v>
      </c>
      <c r="N10" s="17">
        <f t="shared" si="2"/>
        <v>25</v>
      </c>
    </row>
    <row r="11" spans="1:30" ht="12.75" outlineLevel="2">
      <c r="A11" s="14" t="s">
        <v>37</v>
      </c>
      <c r="B11" s="15" t="s">
        <v>30</v>
      </c>
      <c r="C11" s="15" t="s">
        <v>38</v>
      </c>
      <c r="D11" s="15"/>
      <c r="E11" s="15" t="s">
        <v>24</v>
      </c>
      <c r="F11" s="16">
        <v>44873</v>
      </c>
      <c r="G11" s="16">
        <v>44924</v>
      </c>
      <c r="H11" s="16"/>
      <c r="I11" s="16"/>
      <c r="J11" s="15" t="s">
        <v>39</v>
      </c>
      <c r="K11" s="17" t="e">
        <f t="shared" ca="1" si="0"/>
        <v>#NAME?</v>
      </c>
      <c r="L11" s="18">
        <v>1</v>
      </c>
      <c r="M11" s="19" t="e">
        <f t="shared" ca="1" si="5"/>
        <v>#NAME?</v>
      </c>
      <c r="N11" s="15">
        <f t="shared" si="2"/>
        <v>51</v>
      </c>
    </row>
    <row r="12" spans="1:30" ht="15" outlineLevel="1">
      <c r="A12" s="20" t="s">
        <v>40</v>
      </c>
      <c r="B12" s="21" t="s">
        <v>41</v>
      </c>
      <c r="C12" s="22"/>
      <c r="D12" s="21"/>
      <c r="E12" s="21"/>
      <c r="F12" s="23">
        <f>MIN(F13:F21)</f>
        <v>44900</v>
      </c>
      <c r="G12" s="23">
        <f>MAX(G13:G21)</f>
        <v>44918</v>
      </c>
      <c r="H12" s="23"/>
      <c r="I12" s="23"/>
      <c r="J12" s="22"/>
      <c r="K12" s="22" t="e">
        <f t="shared" ca="1" si="0"/>
        <v>#NAME?</v>
      </c>
      <c r="L12" s="24">
        <f t="shared" ref="L12:M12" si="6">AVERAGE(L13:L21)</f>
        <v>1</v>
      </c>
      <c r="M12" s="24" t="e">
        <f t="shared" ca="1" si="6"/>
        <v>#NAME?</v>
      </c>
      <c r="N12" s="22">
        <f t="shared" si="2"/>
        <v>18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spans="1:30" ht="12.75" outlineLevel="2">
      <c r="A13" s="14" t="s">
        <v>42</v>
      </c>
      <c r="B13" s="15" t="s">
        <v>41</v>
      </c>
      <c r="C13" s="15" t="s">
        <v>43</v>
      </c>
      <c r="D13" s="15"/>
      <c r="E13" s="15" t="s">
        <v>15</v>
      </c>
      <c r="F13" s="16">
        <v>44900</v>
      </c>
      <c r="G13" s="16">
        <v>44918</v>
      </c>
      <c r="H13" s="16"/>
      <c r="I13" s="16"/>
      <c r="K13" s="17" t="e">
        <f t="shared" ca="1" si="0"/>
        <v>#NAME?</v>
      </c>
      <c r="L13" s="18">
        <v>1</v>
      </c>
      <c r="M13" s="19" t="e">
        <f t="shared" ref="M13:M21" ca="1" si="7">IFS(L13=1,1,F13=TODAY(),0,(AND(F13=G13,F13=TODAY())),(NOW()-TODAY()),(TODAY()-F13)/N13&gt;=1,1,(TODAY()-F13)/N13&lt;0,0,AND((TODAY()-F13)/N13&lt;1,(TODAY()-F13)/N13&gt;0),(TODAY()-F13)/N13)</f>
        <v>#NAME?</v>
      </c>
      <c r="N13" s="17">
        <f t="shared" si="2"/>
        <v>18</v>
      </c>
    </row>
    <row r="14" spans="1:30" ht="12.75" outlineLevel="2">
      <c r="A14" s="14" t="s">
        <v>45</v>
      </c>
      <c r="B14" s="15" t="s">
        <v>41</v>
      </c>
      <c r="C14" s="15" t="s">
        <v>46</v>
      </c>
      <c r="D14" s="15" t="s">
        <v>375</v>
      </c>
      <c r="E14" s="15" t="s">
        <v>15</v>
      </c>
      <c r="F14" s="16">
        <v>44908</v>
      </c>
      <c r="G14" s="16">
        <v>44918</v>
      </c>
      <c r="H14" s="16"/>
      <c r="I14" s="16"/>
      <c r="K14" s="17" t="e">
        <f t="shared" ca="1" si="0"/>
        <v>#NAME?</v>
      </c>
      <c r="L14" s="18">
        <v>1</v>
      </c>
      <c r="M14" s="19" t="e">
        <f t="shared" ca="1" si="7"/>
        <v>#NAME?</v>
      </c>
      <c r="N14" s="17">
        <f t="shared" si="2"/>
        <v>10</v>
      </c>
    </row>
    <row r="15" spans="1:30" ht="12.75" outlineLevel="2">
      <c r="A15" s="14" t="s">
        <v>47</v>
      </c>
      <c r="B15" s="15" t="s">
        <v>41</v>
      </c>
      <c r="C15" s="15" t="s">
        <v>48</v>
      </c>
      <c r="D15" s="15"/>
      <c r="E15" s="15" t="s">
        <v>15</v>
      </c>
      <c r="F15" s="16">
        <v>44910</v>
      </c>
      <c r="G15" s="16">
        <v>44918</v>
      </c>
      <c r="H15" s="16"/>
      <c r="I15" s="16"/>
      <c r="K15" s="17" t="e">
        <f t="shared" ca="1" si="0"/>
        <v>#NAME?</v>
      </c>
      <c r="L15" s="18">
        <v>1</v>
      </c>
      <c r="M15" s="19" t="e">
        <f t="shared" ca="1" si="7"/>
        <v>#NAME?</v>
      </c>
      <c r="N15" s="17">
        <f t="shared" si="2"/>
        <v>8</v>
      </c>
    </row>
    <row r="16" spans="1:30" ht="12.75" outlineLevel="2">
      <c r="A16" s="14" t="s">
        <v>49</v>
      </c>
      <c r="B16" s="15" t="s">
        <v>41</v>
      </c>
      <c r="C16" s="15" t="s">
        <v>50</v>
      </c>
      <c r="D16" s="15"/>
      <c r="E16" s="15" t="s">
        <v>15</v>
      </c>
      <c r="F16" s="16">
        <v>44916</v>
      </c>
      <c r="G16" s="16">
        <v>44918</v>
      </c>
      <c r="H16" s="16"/>
      <c r="I16" s="16"/>
      <c r="K16" s="17" t="e">
        <f t="shared" ca="1" si="0"/>
        <v>#NAME?</v>
      </c>
      <c r="L16" s="18">
        <v>1</v>
      </c>
      <c r="M16" s="19" t="e">
        <f t="shared" ca="1" si="7"/>
        <v>#NAME?</v>
      </c>
      <c r="N16" s="17">
        <f t="shared" si="2"/>
        <v>2</v>
      </c>
    </row>
    <row r="17" spans="1:30" ht="12.75" outlineLevel="2">
      <c r="A17" s="14" t="s">
        <v>51</v>
      </c>
      <c r="B17" s="15" t="s">
        <v>41</v>
      </c>
      <c r="C17" s="15" t="s">
        <v>52</v>
      </c>
      <c r="D17" s="15"/>
      <c r="E17" s="15" t="s">
        <v>15</v>
      </c>
      <c r="F17" s="16">
        <v>44907</v>
      </c>
      <c r="G17" s="16">
        <v>44918</v>
      </c>
      <c r="H17" s="16"/>
      <c r="I17" s="16"/>
      <c r="K17" s="17" t="e">
        <f t="shared" ca="1" si="0"/>
        <v>#NAME?</v>
      </c>
      <c r="L17" s="18">
        <v>1</v>
      </c>
      <c r="M17" s="19" t="e">
        <f t="shared" ca="1" si="7"/>
        <v>#NAME?</v>
      </c>
      <c r="N17" s="17">
        <f t="shared" si="2"/>
        <v>11</v>
      </c>
    </row>
    <row r="18" spans="1:30" ht="12.75" outlineLevel="2">
      <c r="A18" s="14" t="s">
        <v>53</v>
      </c>
      <c r="B18" s="15" t="s">
        <v>41</v>
      </c>
      <c r="C18" s="15" t="s">
        <v>54</v>
      </c>
      <c r="D18" s="15"/>
      <c r="E18" s="15" t="s">
        <v>15</v>
      </c>
      <c r="F18" s="16">
        <v>44902</v>
      </c>
      <c r="G18" s="16">
        <v>44918</v>
      </c>
      <c r="H18" s="16"/>
      <c r="I18" s="16"/>
      <c r="K18" s="17" t="e">
        <f t="shared" ca="1" si="0"/>
        <v>#NAME?</v>
      </c>
      <c r="L18" s="18">
        <v>1</v>
      </c>
      <c r="M18" s="19" t="e">
        <f t="shared" ca="1" si="7"/>
        <v>#NAME?</v>
      </c>
      <c r="N18" s="17">
        <f t="shared" si="2"/>
        <v>16</v>
      </c>
    </row>
    <row r="19" spans="1:30" ht="12.75" outlineLevel="2">
      <c r="A19" s="14" t="s">
        <v>55</v>
      </c>
      <c r="B19" s="15" t="s">
        <v>41</v>
      </c>
      <c r="C19" s="15" t="s">
        <v>56</v>
      </c>
      <c r="D19" s="15"/>
      <c r="E19" s="15" t="s">
        <v>15</v>
      </c>
      <c r="F19" s="16">
        <v>44918</v>
      </c>
      <c r="G19" s="16">
        <v>44918</v>
      </c>
      <c r="H19" s="16"/>
      <c r="I19" s="16"/>
      <c r="K19" s="17" t="e">
        <f t="shared" ca="1" si="0"/>
        <v>#NAME?</v>
      </c>
      <c r="L19" s="18">
        <v>1</v>
      </c>
      <c r="M19" s="19" t="e">
        <f t="shared" ca="1" si="7"/>
        <v>#NAME?</v>
      </c>
      <c r="N19" s="17">
        <f t="shared" si="2"/>
        <v>1</v>
      </c>
    </row>
    <row r="20" spans="1:30" ht="12.75" outlineLevel="2">
      <c r="A20" s="14" t="s">
        <v>57</v>
      </c>
      <c r="B20" s="15" t="s">
        <v>41</v>
      </c>
      <c r="C20" s="15" t="s">
        <v>58</v>
      </c>
      <c r="D20" s="15"/>
      <c r="E20" s="15" t="s">
        <v>15</v>
      </c>
      <c r="F20" s="16">
        <v>44902</v>
      </c>
      <c r="G20" s="16">
        <v>44918</v>
      </c>
      <c r="H20" s="16"/>
      <c r="I20" s="16"/>
      <c r="K20" s="17" t="e">
        <f t="shared" ca="1" si="0"/>
        <v>#NAME?</v>
      </c>
      <c r="L20" s="18">
        <v>1</v>
      </c>
      <c r="M20" s="19" t="e">
        <f t="shared" ca="1" si="7"/>
        <v>#NAME?</v>
      </c>
      <c r="N20" s="17">
        <f t="shared" si="2"/>
        <v>16</v>
      </c>
    </row>
    <row r="21" spans="1:30" ht="12.75" outlineLevel="2">
      <c r="A21" s="14" t="s">
        <v>59</v>
      </c>
      <c r="B21" s="15" t="s">
        <v>41</v>
      </c>
      <c r="C21" s="15" t="s">
        <v>60</v>
      </c>
      <c r="D21" s="15"/>
      <c r="E21" s="15" t="s">
        <v>15</v>
      </c>
      <c r="F21" s="16">
        <v>44912</v>
      </c>
      <c r="G21" s="16">
        <v>44918</v>
      </c>
      <c r="H21" s="16"/>
      <c r="I21" s="16"/>
      <c r="K21" s="17" t="e">
        <f t="shared" ca="1" si="0"/>
        <v>#NAME?</v>
      </c>
      <c r="L21" s="18">
        <v>1</v>
      </c>
      <c r="M21" s="19" t="e">
        <f t="shared" ca="1" si="7"/>
        <v>#NAME?</v>
      </c>
      <c r="N21" s="17">
        <f t="shared" si="2"/>
        <v>6</v>
      </c>
    </row>
    <row r="22" spans="1:30" ht="15" outlineLevel="1">
      <c r="A22" s="20" t="s">
        <v>61</v>
      </c>
      <c r="B22" s="21" t="s">
        <v>62</v>
      </c>
      <c r="C22" s="22"/>
      <c r="D22" s="21"/>
      <c r="E22" s="21"/>
      <c r="F22" s="23">
        <f>MIN(F23:F31)</f>
        <v>44888</v>
      </c>
      <c r="G22" s="23">
        <f>MAX(G23:G31)</f>
        <v>44964</v>
      </c>
      <c r="H22" s="23"/>
      <c r="I22" s="23"/>
      <c r="J22" s="22"/>
      <c r="K22" s="22" t="e">
        <f t="shared" ca="1" si="0"/>
        <v>#NAME?</v>
      </c>
      <c r="L22" s="24">
        <f t="shared" ref="L22:M22" si="8">AVERAGE(L23:L31)</f>
        <v>0.92222222222222228</v>
      </c>
      <c r="M22" s="24" t="e">
        <f t="shared" ca="1" si="8"/>
        <v>#NAME?</v>
      </c>
      <c r="N22" s="22">
        <f t="shared" si="2"/>
        <v>76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2.75" outlineLevel="2">
      <c r="A23" s="14" t="s">
        <v>63</v>
      </c>
      <c r="B23" s="15" t="s">
        <v>62</v>
      </c>
      <c r="C23" s="15" t="s">
        <v>64</v>
      </c>
      <c r="D23" s="15"/>
      <c r="E23" s="15" t="s">
        <v>15</v>
      </c>
      <c r="F23" s="16">
        <v>44917</v>
      </c>
      <c r="G23" s="16">
        <f>WORKDAY(F23,28)</f>
        <v>44957</v>
      </c>
      <c r="H23" s="16"/>
      <c r="I23" s="16"/>
      <c r="K23" s="17" t="e">
        <f t="shared" ca="1" si="0"/>
        <v>#NAME?</v>
      </c>
      <c r="L23" s="18">
        <v>1</v>
      </c>
      <c r="M23" s="19" t="e">
        <f t="shared" ref="M23:M31" ca="1" si="9">IFS(L23=1,1,F23=TODAY(),0,(AND(F23=G23,F23=TODAY())),(NOW()-TODAY()),(TODAY()-F23)/N23&gt;=1,1,(TODAY()-F23)/N23&lt;0,0,AND((TODAY()-F23)/N23&lt;1,(TODAY()-F23)/N23&gt;0),(TODAY()-F23)/N23)</f>
        <v>#NAME?</v>
      </c>
      <c r="N23" s="17">
        <f t="shared" si="2"/>
        <v>40</v>
      </c>
    </row>
    <row r="24" spans="1:30" ht="12.75" outlineLevel="2">
      <c r="A24" s="14" t="s">
        <v>65</v>
      </c>
      <c r="B24" s="15" t="s">
        <v>62</v>
      </c>
      <c r="C24" s="15" t="s">
        <v>66</v>
      </c>
      <c r="D24" s="15"/>
      <c r="E24" s="15" t="s">
        <v>15</v>
      </c>
      <c r="F24" s="16">
        <f t="shared" ref="F24:G24" si="10">F23</f>
        <v>44917</v>
      </c>
      <c r="G24" s="16">
        <f t="shared" si="10"/>
        <v>44957</v>
      </c>
      <c r="H24" s="16"/>
      <c r="I24" s="16"/>
      <c r="K24" s="17" t="e">
        <f t="shared" ca="1" si="0"/>
        <v>#NAME?</v>
      </c>
      <c r="L24" s="18">
        <v>1</v>
      </c>
      <c r="M24" s="19" t="e">
        <f t="shared" ca="1" si="9"/>
        <v>#NAME?</v>
      </c>
      <c r="N24" s="17">
        <f t="shared" si="2"/>
        <v>40</v>
      </c>
    </row>
    <row r="25" spans="1:30" ht="12.75" outlineLevel="2">
      <c r="A25" s="14" t="s">
        <v>67</v>
      </c>
      <c r="B25" s="15" t="s">
        <v>62</v>
      </c>
      <c r="C25" s="15" t="s">
        <v>68</v>
      </c>
      <c r="D25" s="15"/>
      <c r="E25" s="15" t="s">
        <v>15</v>
      </c>
      <c r="F25" s="16">
        <v>44936</v>
      </c>
      <c r="G25" s="16">
        <f>WORKDAY(F25,20)</f>
        <v>44964</v>
      </c>
      <c r="H25" s="16"/>
      <c r="I25" s="16"/>
      <c r="K25" s="17" t="e">
        <f t="shared" ca="1" si="0"/>
        <v>#NAME?</v>
      </c>
      <c r="L25" s="18">
        <v>0.8</v>
      </c>
      <c r="M25" s="19" t="e">
        <f t="shared" ca="1" si="9"/>
        <v>#NAME?</v>
      </c>
      <c r="N25" s="15">
        <f t="shared" si="2"/>
        <v>28</v>
      </c>
    </row>
    <row r="26" spans="1:30" ht="12.75" outlineLevel="2">
      <c r="A26" s="14" t="s">
        <v>69</v>
      </c>
      <c r="B26" s="15" t="s">
        <v>62</v>
      </c>
      <c r="C26" s="15" t="s">
        <v>70</v>
      </c>
      <c r="D26" s="15"/>
      <c r="E26" s="15" t="s">
        <v>15</v>
      </c>
      <c r="F26" s="16">
        <f t="shared" ref="F26:G26" si="11">F25</f>
        <v>44936</v>
      </c>
      <c r="G26" s="16">
        <f t="shared" si="11"/>
        <v>44964</v>
      </c>
      <c r="H26" s="16"/>
      <c r="I26" s="16"/>
      <c r="K26" s="17" t="e">
        <f t="shared" ca="1" si="0"/>
        <v>#NAME?</v>
      </c>
      <c r="L26" s="18">
        <v>0.8</v>
      </c>
      <c r="M26" s="19" t="e">
        <f t="shared" ca="1" si="9"/>
        <v>#NAME?</v>
      </c>
      <c r="N26" s="15">
        <f t="shared" si="2"/>
        <v>28</v>
      </c>
    </row>
    <row r="27" spans="1:30" ht="12.75" outlineLevel="2">
      <c r="A27" s="14" t="s">
        <v>71</v>
      </c>
      <c r="B27" s="15" t="s">
        <v>62</v>
      </c>
      <c r="C27" s="15" t="s">
        <v>72</v>
      </c>
      <c r="D27" s="15" t="s">
        <v>376</v>
      </c>
      <c r="E27" s="15" t="s">
        <v>24</v>
      </c>
      <c r="F27" s="16">
        <v>44949</v>
      </c>
      <c r="G27" s="16">
        <f>WORKDAY(F27,2)</f>
        <v>44951</v>
      </c>
      <c r="H27" s="16"/>
      <c r="I27" s="16"/>
      <c r="K27" s="17" t="e">
        <f t="shared" ca="1" si="0"/>
        <v>#NAME?</v>
      </c>
      <c r="L27" s="18">
        <v>1</v>
      </c>
      <c r="M27" s="19" t="e">
        <f t="shared" ca="1" si="9"/>
        <v>#NAME?</v>
      </c>
      <c r="N27" s="15">
        <f t="shared" si="2"/>
        <v>2</v>
      </c>
    </row>
    <row r="28" spans="1:30" ht="12.75" outlineLevel="2">
      <c r="A28" s="14" t="s">
        <v>73</v>
      </c>
      <c r="B28" s="15" t="s">
        <v>62</v>
      </c>
      <c r="C28" s="15" t="s">
        <v>74</v>
      </c>
      <c r="D28" s="15" t="s">
        <v>377</v>
      </c>
      <c r="E28" s="15" t="s">
        <v>15</v>
      </c>
      <c r="F28" s="16">
        <v>44888</v>
      </c>
      <c r="G28" s="16">
        <f>G24</f>
        <v>44957</v>
      </c>
      <c r="H28" s="16"/>
      <c r="I28" s="16"/>
      <c r="K28" s="17" t="e">
        <f t="shared" ca="1" si="0"/>
        <v>#NAME?</v>
      </c>
      <c r="L28" s="18">
        <v>1</v>
      </c>
      <c r="M28" s="19" t="e">
        <f t="shared" ca="1" si="9"/>
        <v>#NAME?</v>
      </c>
      <c r="N28" s="17">
        <f t="shared" si="2"/>
        <v>69</v>
      </c>
    </row>
    <row r="29" spans="1:30" ht="12.75" outlineLevel="2">
      <c r="A29" s="14" t="s">
        <v>75</v>
      </c>
      <c r="B29" s="15" t="s">
        <v>62</v>
      </c>
      <c r="C29" s="15" t="s">
        <v>76</v>
      </c>
      <c r="D29" s="15" t="s">
        <v>376</v>
      </c>
      <c r="E29" s="15" t="s">
        <v>15</v>
      </c>
      <c r="F29" s="16">
        <f>WORKDAY(G28,-6)</f>
        <v>44949</v>
      </c>
      <c r="G29" s="16">
        <f>WORKDAY(F29,5)</f>
        <v>44956</v>
      </c>
      <c r="H29" s="16"/>
      <c r="I29" s="16"/>
      <c r="K29" s="17" t="e">
        <f t="shared" ca="1" si="0"/>
        <v>#NAME?</v>
      </c>
      <c r="L29" s="18">
        <v>0.7</v>
      </c>
      <c r="M29" s="19" t="e">
        <f t="shared" ca="1" si="9"/>
        <v>#NAME?</v>
      </c>
      <c r="N29" s="15">
        <f t="shared" si="2"/>
        <v>7</v>
      </c>
    </row>
    <row r="30" spans="1:30" ht="12.75" outlineLevel="2">
      <c r="A30" s="14" t="s">
        <v>77</v>
      </c>
      <c r="B30" s="15" t="s">
        <v>62</v>
      </c>
      <c r="C30" s="15" t="s">
        <v>78</v>
      </c>
      <c r="D30" s="15" t="s">
        <v>377</v>
      </c>
      <c r="E30" s="15" t="s">
        <v>15</v>
      </c>
      <c r="F30" s="16">
        <v>44929</v>
      </c>
      <c r="G30" s="16">
        <f>WORKDAY(F30,20)</f>
        <v>44957</v>
      </c>
      <c r="H30" s="16"/>
      <c r="I30" s="16"/>
      <c r="K30" s="17" t="e">
        <f t="shared" ca="1" si="0"/>
        <v>#NAME?</v>
      </c>
      <c r="L30" s="18">
        <v>1</v>
      </c>
      <c r="M30" s="19" t="e">
        <f t="shared" ca="1" si="9"/>
        <v>#NAME?</v>
      </c>
      <c r="N30" s="17">
        <f t="shared" si="2"/>
        <v>28</v>
      </c>
    </row>
    <row r="31" spans="1:30" ht="12.75" outlineLevel="2">
      <c r="A31" s="14" t="s">
        <v>79</v>
      </c>
      <c r="B31" s="15" t="s">
        <v>62</v>
      </c>
      <c r="C31" s="15" t="s">
        <v>80</v>
      </c>
      <c r="D31" s="15" t="s">
        <v>125</v>
      </c>
      <c r="E31" s="15" t="s">
        <v>15</v>
      </c>
      <c r="F31" s="16">
        <v>44908</v>
      </c>
      <c r="G31" s="16">
        <v>44932</v>
      </c>
      <c r="H31" s="16">
        <f>F31</f>
        <v>44908</v>
      </c>
      <c r="I31" s="16">
        <v>44943</v>
      </c>
      <c r="J31" s="15" t="s">
        <v>81</v>
      </c>
      <c r="K31" s="17" t="e">
        <f t="shared" ca="1" si="0"/>
        <v>#NAME?</v>
      </c>
      <c r="L31" s="18">
        <v>1</v>
      </c>
      <c r="M31" s="19" t="e">
        <f t="shared" ca="1" si="9"/>
        <v>#NAME?</v>
      </c>
      <c r="N31" s="15">
        <f t="shared" si="2"/>
        <v>24</v>
      </c>
    </row>
    <row r="32" spans="1:30" ht="16.5" customHeight="1">
      <c r="A32" s="7" t="s">
        <v>82</v>
      </c>
      <c r="B32" s="26" t="s">
        <v>83</v>
      </c>
      <c r="C32" s="9" t="s">
        <v>84</v>
      </c>
      <c r="D32" s="9"/>
      <c r="E32" s="27" t="s">
        <v>85</v>
      </c>
      <c r="F32" s="11">
        <f>MIN(F87,F33)</f>
        <v>44938</v>
      </c>
      <c r="G32" s="11">
        <f>MAX(G87,G33)</f>
        <v>45064</v>
      </c>
      <c r="H32" s="11"/>
      <c r="I32" s="11"/>
      <c r="J32" s="12"/>
      <c r="K32" s="12" t="e">
        <f t="shared" ca="1" si="0"/>
        <v>#NAME?</v>
      </c>
      <c r="L32" s="13">
        <f t="shared" ref="L32:M32" si="12">AVERAGE(L33,L87,L100)</f>
        <v>1.8229166666666668E-2</v>
      </c>
      <c r="M32" s="13" t="e">
        <f t="shared" ca="1" si="12"/>
        <v>#NAME?</v>
      </c>
      <c r="N32" s="12">
        <f t="shared" si="2"/>
        <v>126</v>
      </c>
    </row>
    <row r="33" spans="1:30" ht="15" outlineLevel="1">
      <c r="A33" s="20" t="s">
        <v>86</v>
      </c>
      <c r="B33" s="21" t="s">
        <v>87</v>
      </c>
      <c r="C33" s="22"/>
      <c r="D33" s="21"/>
      <c r="E33" s="21"/>
      <c r="F33" s="23">
        <f>MIN(F34:F86)</f>
        <v>44938</v>
      </c>
      <c r="G33" s="23">
        <f>MAX(G34:G86)</f>
        <v>45005</v>
      </c>
      <c r="H33" s="23"/>
      <c r="I33" s="23"/>
      <c r="J33" s="22"/>
      <c r="K33" s="22" t="e">
        <f t="shared" ca="1" si="0"/>
        <v>#NAME?</v>
      </c>
      <c r="L33" s="24">
        <f t="shared" ref="L33:M33" si="13">AVERAGE(L34,L67,L73,L80)</f>
        <v>5.46875E-2</v>
      </c>
      <c r="M33" s="24" t="e">
        <f t="shared" ca="1" si="13"/>
        <v>#NAME?</v>
      </c>
      <c r="N33" s="22">
        <f t="shared" si="2"/>
        <v>67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spans="1:30" ht="12.75" outlineLevel="2">
      <c r="A34" s="28" t="s">
        <v>88</v>
      </c>
      <c r="B34" s="29" t="s">
        <v>89</v>
      </c>
      <c r="C34" s="30"/>
      <c r="D34" s="29"/>
      <c r="E34" s="29"/>
      <c r="F34" s="31">
        <f>MIN(F35:F66)</f>
        <v>44938</v>
      </c>
      <c r="G34" s="31">
        <f>MAX(G35:G66)</f>
        <v>45005</v>
      </c>
      <c r="H34" s="31"/>
      <c r="I34" s="31"/>
      <c r="J34" s="30"/>
      <c r="K34" s="30" t="e">
        <f t="shared" ca="1" si="0"/>
        <v>#NAME?</v>
      </c>
      <c r="L34" s="32">
        <f t="shared" ref="L34:M34" si="14">AVERAGE(L35:L66)</f>
        <v>0.21875</v>
      </c>
      <c r="M34" s="32" t="e">
        <f t="shared" ca="1" si="14"/>
        <v>#NAME?</v>
      </c>
      <c r="N34" s="30">
        <f t="shared" si="2"/>
        <v>67</v>
      </c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ht="12.75" outlineLevel="3">
      <c r="A35" s="14" t="s">
        <v>90</v>
      </c>
      <c r="B35" s="15" t="s">
        <v>91</v>
      </c>
      <c r="C35" s="15" t="s">
        <v>92</v>
      </c>
      <c r="D35" s="15"/>
      <c r="E35" s="15" t="s">
        <v>93</v>
      </c>
      <c r="F35" s="16">
        <v>44938</v>
      </c>
      <c r="G35" s="16">
        <f>WORKDAY(F35,6)</f>
        <v>44946</v>
      </c>
      <c r="H35" s="16"/>
      <c r="I35" s="16"/>
      <c r="K35" s="17" t="e">
        <f t="shared" ca="1" si="0"/>
        <v>#NAME?</v>
      </c>
      <c r="L35" s="18">
        <v>1</v>
      </c>
      <c r="M35" s="19" t="e">
        <f t="shared" ref="M35:M66" ca="1" si="15">IFS(L35=1,1,F35=TODAY(),0,(AND(F35=G35,F35=TODAY())),(NOW()-TODAY()),(TODAY()-F35)/N35&gt;=1,1,(TODAY()-F35)/N35&lt;0,0,AND((TODAY()-F35)/N35&lt;1,(TODAY()-F35)/N35&gt;0),(TODAY()-F35)/N35)</f>
        <v>#NAME?</v>
      </c>
      <c r="N35" s="17">
        <f t="shared" si="2"/>
        <v>8</v>
      </c>
    </row>
    <row r="36" spans="1:30" ht="12.75" outlineLevel="3">
      <c r="A36" s="14" t="s">
        <v>94</v>
      </c>
      <c r="B36" s="15" t="s">
        <v>91</v>
      </c>
      <c r="C36" s="15" t="s">
        <v>95</v>
      </c>
      <c r="D36" s="15"/>
      <c r="E36" s="15" t="s">
        <v>93</v>
      </c>
      <c r="F36" s="16">
        <v>44958</v>
      </c>
      <c r="G36" s="16">
        <f>WORKDAY(F36,4)</f>
        <v>44964</v>
      </c>
      <c r="H36" s="16"/>
      <c r="I36" s="16"/>
      <c r="K36" s="17" t="e">
        <f t="shared" ca="1" si="0"/>
        <v>#NAME?</v>
      </c>
      <c r="L36" s="18">
        <v>1</v>
      </c>
      <c r="M36" s="19" t="e">
        <f t="shared" ca="1" si="15"/>
        <v>#NAME?</v>
      </c>
      <c r="N36" s="17">
        <f t="shared" si="2"/>
        <v>6</v>
      </c>
    </row>
    <row r="37" spans="1:30" ht="12.75" outlineLevel="3">
      <c r="A37" s="14" t="s">
        <v>96</v>
      </c>
      <c r="B37" s="15" t="s">
        <v>91</v>
      </c>
      <c r="C37" s="15" t="s">
        <v>97</v>
      </c>
      <c r="D37" s="15"/>
      <c r="E37" s="15" t="s">
        <v>93</v>
      </c>
      <c r="F37" s="16">
        <f>WORKDAY(G36,-1)</f>
        <v>44963</v>
      </c>
      <c r="G37" s="16">
        <f>WORKDAY(F37,2)</f>
        <v>44965</v>
      </c>
      <c r="H37" s="16"/>
      <c r="I37" s="16"/>
      <c r="K37" s="17" t="e">
        <f t="shared" ca="1" si="0"/>
        <v>#NAME?</v>
      </c>
      <c r="L37" s="18">
        <v>1</v>
      </c>
      <c r="M37" s="19" t="e">
        <f t="shared" ca="1" si="15"/>
        <v>#NAME?</v>
      </c>
      <c r="N37" s="17">
        <f t="shared" si="2"/>
        <v>2</v>
      </c>
    </row>
    <row r="38" spans="1:30" ht="12.75" outlineLevel="3">
      <c r="A38" s="14" t="s">
        <v>98</v>
      </c>
      <c r="B38" s="15" t="s">
        <v>91</v>
      </c>
      <c r="C38" s="33" t="s">
        <v>99</v>
      </c>
      <c r="D38" s="15"/>
      <c r="E38" s="15" t="s">
        <v>93</v>
      </c>
      <c r="F38" s="16">
        <f t="shared" ref="F38:F42" si="16">WORKDAY(G37,1)</f>
        <v>44966</v>
      </c>
      <c r="G38" s="16">
        <f>WORKDAY(F38,3)</f>
        <v>44971</v>
      </c>
      <c r="H38" s="16"/>
      <c r="I38" s="16"/>
      <c r="K38" s="17" t="e">
        <f t="shared" ca="1" si="0"/>
        <v>#NAME?</v>
      </c>
      <c r="L38" s="18">
        <v>0</v>
      </c>
      <c r="M38" s="19" t="e">
        <f t="shared" ca="1" si="15"/>
        <v>#NAME?</v>
      </c>
      <c r="N38" s="17">
        <f t="shared" si="2"/>
        <v>5</v>
      </c>
    </row>
    <row r="39" spans="1:30" ht="12.75" outlineLevel="3">
      <c r="A39" s="34" t="s">
        <v>100</v>
      </c>
      <c r="B39" s="33" t="s">
        <v>66</v>
      </c>
      <c r="C39" s="33" t="s">
        <v>101</v>
      </c>
      <c r="D39" s="15"/>
      <c r="E39" s="35" t="s">
        <v>93</v>
      </c>
      <c r="F39" s="36">
        <f t="shared" si="16"/>
        <v>44972</v>
      </c>
      <c r="G39" s="36">
        <f>WORKDAY(F39,2)</f>
        <v>44974</v>
      </c>
      <c r="H39" s="37"/>
      <c r="I39" s="38"/>
      <c r="J39" s="37"/>
      <c r="K39" s="39" t="e">
        <f t="shared" ca="1" si="0"/>
        <v>#NAME?</v>
      </c>
      <c r="L39" s="40">
        <v>0</v>
      </c>
      <c r="M39" s="40" t="e">
        <f t="shared" ca="1" si="15"/>
        <v>#NAME?</v>
      </c>
      <c r="N39" s="41">
        <f t="shared" si="2"/>
        <v>2</v>
      </c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</row>
    <row r="40" spans="1:30" ht="12.75" outlineLevel="3">
      <c r="A40" s="34" t="s">
        <v>100</v>
      </c>
      <c r="B40" s="33" t="s">
        <v>66</v>
      </c>
      <c r="C40" s="33" t="s">
        <v>102</v>
      </c>
      <c r="D40" s="15"/>
      <c r="E40" s="35" t="s">
        <v>93</v>
      </c>
      <c r="F40" s="36">
        <f t="shared" si="16"/>
        <v>44977</v>
      </c>
      <c r="G40" s="36">
        <f>WORKDAY(F40,3)</f>
        <v>44980</v>
      </c>
      <c r="H40" s="37"/>
      <c r="I40" s="38"/>
      <c r="J40" s="37"/>
      <c r="K40" s="39" t="e">
        <f t="shared" ca="1" si="0"/>
        <v>#NAME?</v>
      </c>
      <c r="L40" s="40">
        <v>0</v>
      </c>
      <c r="M40" s="40" t="e">
        <f t="shared" ca="1" si="15"/>
        <v>#NAME?</v>
      </c>
      <c r="N40" s="41">
        <f t="shared" si="2"/>
        <v>3</v>
      </c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</row>
    <row r="41" spans="1:30" ht="12.75" outlineLevel="3">
      <c r="A41" s="14" t="s">
        <v>100</v>
      </c>
      <c r="B41" s="15" t="s">
        <v>66</v>
      </c>
      <c r="C41" s="15" t="s">
        <v>103</v>
      </c>
      <c r="D41" s="15"/>
      <c r="E41" s="15" t="s">
        <v>93</v>
      </c>
      <c r="F41" s="16">
        <f t="shared" si="16"/>
        <v>44981</v>
      </c>
      <c r="G41" s="36">
        <f>WORKDAY(F41,2)</f>
        <v>44985</v>
      </c>
      <c r="I41" s="16"/>
      <c r="K41" s="17" t="e">
        <f t="shared" ca="1" si="0"/>
        <v>#NAME?</v>
      </c>
      <c r="L41" s="18">
        <v>0</v>
      </c>
      <c r="M41" s="19" t="e">
        <f t="shared" ca="1" si="15"/>
        <v>#NAME?</v>
      </c>
      <c r="N41" s="17">
        <f t="shared" si="2"/>
        <v>4</v>
      </c>
    </row>
    <row r="42" spans="1:30" ht="12.75" outlineLevel="3">
      <c r="A42" s="14" t="s">
        <v>100</v>
      </c>
      <c r="B42" s="15" t="s">
        <v>104</v>
      </c>
      <c r="C42" s="15" t="s">
        <v>105</v>
      </c>
      <c r="D42" s="15"/>
      <c r="E42" s="15" t="s">
        <v>93</v>
      </c>
      <c r="F42" s="16">
        <f t="shared" si="16"/>
        <v>44986</v>
      </c>
      <c r="G42" s="16">
        <f>WORKDAY(F42,1)</f>
        <v>44987</v>
      </c>
      <c r="I42" s="16"/>
      <c r="K42" s="17" t="e">
        <f t="shared" ca="1" si="0"/>
        <v>#NAME?</v>
      </c>
      <c r="L42" s="18">
        <v>0</v>
      </c>
      <c r="M42" s="19" t="e">
        <f t="shared" ca="1" si="15"/>
        <v>#NAME?</v>
      </c>
      <c r="N42" s="17">
        <f t="shared" si="2"/>
        <v>1</v>
      </c>
    </row>
    <row r="43" spans="1:30" ht="12.75" outlineLevel="3">
      <c r="A43" s="14" t="s">
        <v>100</v>
      </c>
      <c r="B43" s="15" t="s">
        <v>66</v>
      </c>
      <c r="C43" s="42" t="s">
        <v>106</v>
      </c>
      <c r="D43" s="15"/>
      <c r="E43" s="15" t="s">
        <v>93</v>
      </c>
      <c r="F43" s="16">
        <f>WORKDAY(G41,1)</f>
        <v>44986</v>
      </c>
      <c r="G43" s="16">
        <f>WORKDAY(F43,3)</f>
        <v>44991</v>
      </c>
      <c r="I43" s="16"/>
      <c r="K43" s="17" t="e">
        <f t="shared" ca="1" si="0"/>
        <v>#NAME?</v>
      </c>
      <c r="L43" s="18">
        <v>0</v>
      </c>
      <c r="M43" s="19" t="e">
        <f t="shared" ca="1" si="15"/>
        <v>#NAME?</v>
      </c>
      <c r="N43" s="17">
        <f t="shared" si="2"/>
        <v>5</v>
      </c>
    </row>
    <row r="44" spans="1:30" ht="12.75" outlineLevel="3">
      <c r="A44" s="14" t="s">
        <v>107</v>
      </c>
      <c r="B44" s="15" t="s">
        <v>91</v>
      </c>
      <c r="C44" s="15" t="s">
        <v>108</v>
      </c>
      <c r="D44" s="15"/>
      <c r="E44" s="15" t="s">
        <v>93</v>
      </c>
      <c r="F44" s="16">
        <v>44938</v>
      </c>
      <c r="G44" s="16">
        <f>WORKDAY(F44,6)</f>
        <v>44946</v>
      </c>
      <c r="H44" s="16"/>
      <c r="I44" s="16"/>
      <c r="K44" s="17" t="e">
        <f t="shared" ca="1" si="0"/>
        <v>#NAME?</v>
      </c>
      <c r="L44" s="18">
        <v>1</v>
      </c>
      <c r="M44" s="19" t="e">
        <f t="shared" ca="1" si="15"/>
        <v>#NAME?</v>
      </c>
      <c r="N44" s="17">
        <f t="shared" si="2"/>
        <v>8</v>
      </c>
    </row>
    <row r="45" spans="1:30" ht="12.75" outlineLevel="3">
      <c r="A45" s="14" t="s">
        <v>109</v>
      </c>
      <c r="B45" s="15" t="s">
        <v>91</v>
      </c>
      <c r="C45" s="15" t="s">
        <v>110</v>
      </c>
      <c r="D45" s="15"/>
      <c r="E45" s="15" t="s">
        <v>93</v>
      </c>
      <c r="F45" s="16">
        <v>44958</v>
      </c>
      <c r="G45" s="16">
        <f t="shared" ref="G45:G46" si="17">WORKDAY(F45,5)</f>
        <v>44965</v>
      </c>
      <c r="H45" s="16"/>
      <c r="I45" s="16"/>
      <c r="K45" s="17" t="e">
        <f t="shared" ca="1" si="0"/>
        <v>#NAME?</v>
      </c>
      <c r="L45" s="18">
        <v>1</v>
      </c>
      <c r="M45" s="19" t="e">
        <f t="shared" ca="1" si="15"/>
        <v>#NAME?</v>
      </c>
      <c r="N45" s="17">
        <f t="shared" si="2"/>
        <v>7</v>
      </c>
    </row>
    <row r="46" spans="1:30" ht="12.75" outlineLevel="3">
      <c r="A46" s="14" t="s">
        <v>111</v>
      </c>
      <c r="B46" s="15" t="s">
        <v>91</v>
      </c>
      <c r="C46" s="33" t="s">
        <v>112</v>
      </c>
      <c r="D46" s="15"/>
      <c r="E46" s="15" t="s">
        <v>93</v>
      </c>
      <c r="F46" s="16">
        <f>WORKDAY(G45,1)</f>
        <v>44966</v>
      </c>
      <c r="G46" s="16">
        <f t="shared" si="17"/>
        <v>44973</v>
      </c>
      <c r="H46" s="16"/>
      <c r="I46" s="16"/>
      <c r="K46" s="17" t="e">
        <f t="shared" ca="1" si="0"/>
        <v>#NAME?</v>
      </c>
      <c r="L46" s="18">
        <v>1</v>
      </c>
      <c r="M46" s="19" t="e">
        <f t="shared" ca="1" si="15"/>
        <v>#NAME?</v>
      </c>
      <c r="N46" s="17">
        <f t="shared" si="2"/>
        <v>7</v>
      </c>
    </row>
    <row r="47" spans="1:30" ht="12.75" outlineLevel="3">
      <c r="A47" s="14" t="s">
        <v>113</v>
      </c>
      <c r="B47" s="15" t="s">
        <v>91</v>
      </c>
      <c r="C47" s="15" t="s">
        <v>114</v>
      </c>
      <c r="D47" s="15"/>
      <c r="E47" s="15" t="s">
        <v>93</v>
      </c>
      <c r="F47" s="16">
        <f>WORKDAY(G46,-1)</f>
        <v>44972</v>
      </c>
      <c r="G47" s="16">
        <f>WORKDAY(F47,1)</f>
        <v>44973</v>
      </c>
      <c r="H47" s="16"/>
      <c r="I47" s="16"/>
      <c r="K47" s="17" t="e">
        <f t="shared" ca="1" si="0"/>
        <v>#NAME?</v>
      </c>
      <c r="L47" s="18">
        <v>0</v>
      </c>
      <c r="M47" s="19" t="e">
        <f t="shared" ca="1" si="15"/>
        <v>#NAME?</v>
      </c>
      <c r="N47" s="17">
        <f t="shared" si="2"/>
        <v>1</v>
      </c>
    </row>
    <row r="48" spans="1:30" ht="12.75" outlineLevel="3">
      <c r="A48" s="34" t="s">
        <v>100</v>
      </c>
      <c r="B48" s="33" t="s">
        <v>66</v>
      </c>
      <c r="C48" s="33" t="s">
        <v>115</v>
      </c>
      <c r="D48" s="15"/>
      <c r="E48" s="35" t="s">
        <v>93</v>
      </c>
      <c r="F48" s="36">
        <f t="shared" ref="F48:F50" si="18">WORKDAY(G47,1)</f>
        <v>44974</v>
      </c>
      <c r="G48" s="36">
        <f>WORKDAY(F48,2)</f>
        <v>44978</v>
      </c>
      <c r="H48" s="37"/>
      <c r="I48" s="38"/>
      <c r="J48" s="37"/>
      <c r="K48" s="39" t="e">
        <f t="shared" ca="1" si="0"/>
        <v>#NAME?</v>
      </c>
      <c r="L48" s="40">
        <v>0</v>
      </c>
      <c r="M48" s="40" t="e">
        <f t="shared" ca="1" si="15"/>
        <v>#NAME?</v>
      </c>
      <c r="N48" s="41">
        <f t="shared" si="2"/>
        <v>4</v>
      </c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</row>
    <row r="49" spans="1:30" ht="12.75" outlineLevel="3">
      <c r="A49" s="14" t="s">
        <v>100</v>
      </c>
      <c r="B49" s="15" t="s">
        <v>66</v>
      </c>
      <c r="C49" s="15" t="s">
        <v>116</v>
      </c>
      <c r="D49" s="15"/>
      <c r="E49" s="15" t="s">
        <v>93</v>
      </c>
      <c r="F49" s="36">
        <f t="shared" si="18"/>
        <v>44979</v>
      </c>
      <c r="G49" s="36">
        <f>WORKDAY(F49,4)</f>
        <v>44985</v>
      </c>
      <c r="I49" s="16"/>
      <c r="K49" s="17" t="e">
        <f t="shared" ca="1" si="0"/>
        <v>#NAME?</v>
      </c>
      <c r="L49" s="18">
        <v>0</v>
      </c>
      <c r="M49" s="19" t="e">
        <f t="shared" ca="1" si="15"/>
        <v>#NAME?</v>
      </c>
      <c r="N49" s="17">
        <f t="shared" si="2"/>
        <v>6</v>
      </c>
    </row>
    <row r="50" spans="1:30" ht="12.75" outlineLevel="3">
      <c r="A50" s="14" t="s">
        <v>100</v>
      </c>
      <c r="B50" s="15" t="s">
        <v>104</v>
      </c>
      <c r="C50" s="15" t="s">
        <v>117</v>
      </c>
      <c r="D50" s="15"/>
      <c r="E50" s="15" t="s">
        <v>93</v>
      </c>
      <c r="F50" s="16">
        <f t="shared" si="18"/>
        <v>44986</v>
      </c>
      <c r="G50" s="16">
        <f>WORKDAY(F50,1)</f>
        <v>44987</v>
      </c>
      <c r="I50" s="16"/>
      <c r="K50" s="17" t="e">
        <f t="shared" ca="1" si="0"/>
        <v>#NAME?</v>
      </c>
      <c r="L50" s="18">
        <v>0</v>
      </c>
      <c r="M50" s="19" t="e">
        <f t="shared" ca="1" si="15"/>
        <v>#NAME?</v>
      </c>
      <c r="N50" s="17">
        <f t="shared" si="2"/>
        <v>1</v>
      </c>
    </row>
    <row r="51" spans="1:30" ht="12.75" outlineLevel="3">
      <c r="A51" s="34" t="s">
        <v>100</v>
      </c>
      <c r="B51" s="33" t="s">
        <v>66</v>
      </c>
      <c r="C51" s="15" t="s">
        <v>118</v>
      </c>
      <c r="D51" s="15"/>
      <c r="E51" s="35" t="s">
        <v>93</v>
      </c>
      <c r="F51" s="16">
        <f>WORKDAY(G49,1)</f>
        <v>44986</v>
      </c>
      <c r="G51" s="16">
        <f>WORKDAY(F51,4)</f>
        <v>44992</v>
      </c>
      <c r="H51" s="37"/>
      <c r="I51" s="38"/>
      <c r="J51" s="37"/>
      <c r="K51" s="39" t="e">
        <f t="shared" ca="1" si="0"/>
        <v>#NAME?</v>
      </c>
      <c r="L51" s="40">
        <v>0</v>
      </c>
      <c r="M51" s="40" t="e">
        <f t="shared" ca="1" si="15"/>
        <v>#NAME?</v>
      </c>
      <c r="N51" s="41">
        <f t="shared" si="2"/>
        <v>6</v>
      </c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</row>
    <row r="52" spans="1:30" ht="12.75" outlineLevel="3">
      <c r="A52" s="14" t="s">
        <v>119</v>
      </c>
      <c r="B52" s="15" t="s">
        <v>91</v>
      </c>
      <c r="C52" s="15" t="s">
        <v>120</v>
      </c>
      <c r="D52" s="15"/>
      <c r="E52" s="15" t="s">
        <v>93</v>
      </c>
      <c r="F52" s="16">
        <v>44966</v>
      </c>
      <c r="G52" s="16">
        <f t="shared" ref="G52:G53" si="19">WORKDAY(F52,6)</f>
        <v>44974</v>
      </c>
      <c r="H52" s="16"/>
      <c r="I52" s="16"/>
      <c r="K52" s="17" t="e">
        <f t="shared" ca="1" si="0"/>
        <v>#NAME?</v>
      </c>
      <c r="L52" s="18">
        <v>0</v>
      </c>
      <c r="M52" s="19" t="e">
        <f t="shared" ca="1" si="15"/>
        <v>#NAME?</v>
      </c>
      <c r="N52" s="17">
        <f t="shared" si="2"/>
        <v>8</v>
      </c>
    </row>
    <row r="53" spans="1:30" ht="12.75" outlineLevel="3">
      <c r="A53" s="14" t="s">
        <v>121</v>
      </c>
      <c r="B53" s="15" t="s">
        <v>91</v>
      </c>
      <c r="C53" s="29" t="s">
        <v>122</v>
      </c>
      <c r="D53" s="15"/>
      <c r="E53" s="15" t="s">
        <v>93</v>
      </c>
      <c r="F53" s="16">
        <f t="shared" ref="F53:F56" si="20">WORKDAY(G52,1)</f>
        <v>44977</v>
      </c>
      <c r="G53" s="16">
        <f t="shared" si="19"/>
        <v>44985</v>
      </c>
      <c r="H53" s="16"/>
      <c r="I53" s="16"/>
      <c r="K53" s="17" t="e">
        <f t="shared" ca="1" si="0"/>
        <v>#NAME?</v>
      </c>
      <c r="L53" s="18">
        <v>0</v>
      </c>
      <c r="M53" s="19" t="e">
        <f t="shared" ca="1" si="15"/>
        <v>#NAME?</v>
      </c>
      <c r="N53" s="17">
        <f t="shared" si="2"/>
        <v>8</v>
      </c>
    </row>
    <row r="54" spans="1:30" ht="12.75" outlineLevel="3">
      <c r="A54" s="14" t="s">
        <v>111</v>
      </c>
      <c r="B54" s="15" t="s">
        <v>91</v>
      </c>
      <c r="C54" s="33" t="s">
        <v>123</v>
      </c>
      <c r="D54" s="15"/>
      <c r="E54" s="15" t="s">
        <v>93</v>
      </c>
      <c r="F54" s="16">
        <f t="shared" si="20"/>
        <v>44986</v>
      </c>
      <c r="G54" s="16">
        <f t="shared" ref="G54:G55" si="21">WORKDAY(F54,0)</f>
        <v>44986</v>
      </c>
      <c r="H54" s="16"/>
      <c r="I54" s="16"/>
      <c r="K54" s="17" t="e">
        <f t="shared" ca="1" si="0"/>
        <v>#NAME?</v>
      </c>
      <c r="L54" s="18">
        <v>1</v>
      </c>
      <c r="M54" s="19" t="e">
        <f t="shared" ca="1" si="15"/>
        <v>#NAME?</v>
      </c>
      <c r="N54" s="17">
        <f t="shared" si="2"/>
        <v>1</v>
      </c>
    </row>
    <row r="55" spans="1:30" ht="12.75" outlineLevel="3">
      <c r="A55" s="34" t="s">
        <v>100</v>
      </c>
      <c r="B55" s="33" t="s">
        <v>66</v>
      </c>
      <c r="C55" s="15" t="s">
        <v>124</v>
      </c>
      <c r="D55" s="15"/>
      <c r="E55" s="35" t="s">
        <v>93</v>
      </c>
      <c r="F55" s="16">
        <f t="shared" si="20"/>
        <v>44987</v>
      </c>
      <c r="G55" s="16">
        <f t="shared" si="21"/>
        <v>44987</v>
      </c>
      <c r="H55" s="37"/>
      <c r="I55" s="38"/>
      <c r="J55" s="37"/>
      <c r="K55" s="39" t="e">
        <f t="shared" ca="1" si="0"/>
        <v>#NAME?</v>
      </c>
      <c r="L55" s="40">
        <v>0</v>
      </c>
      <c r="M55" s="40" t="e">
        <f t="shared" ca="1" si="15"/>
        <v>#NAME?</v>
      </c>
      <c r="N55" s="41">
        <f t="shared" si="2"/>
        <v>1</v>
      </c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</row>
    <row r="56" spans="1:30" ht="12.75" outlineLevel="3">
      <c r="A56" s="14" t="s">
        <v>100</v>
      </c>
      <c r="B56" s="15" t="s">
        <v>104</v>
      </c>
      <c r="C56" s="15" t="s">
        <v>124</v>
      </c>
      <c r="D56" s="15"/>
      <c r="E56" s="15" t="s">
        <v>93</v>
      </c>
      <c r="F56" s="16">
        <f t="shared" si="20"/>
        <v>44988</v>
      </c>
      <c r="G56" s="16">
        <f t="shared" ref="G56:G66" si="22">WORKDAY(F56,1)</f>
        <v>44991</v>
      </c>
      <c r="I56" s="16"/>
      <c r="K56" s="17" t="e">
        <f t="shared" ca="1" si="0"/>
        <v>#NAME?</v>
      </c>
      <c r="L56" s="18">
        <v>0</v>
      </c>
      <c r="M56" s="19" t="e">
        <f t="shared" ca="1" si="15"/>
        <v>#NAME?</v>
      </c>
      <c r="N56" s="17">
        <f t="shared" si="2"/>
        <v>3</v>
      </c>
    </row>
    <row r="57" spans="1:30" ht="12.75" outlineLevel="3">
      <c r="A57" s="34" t="s">
        <v>100</v>
      </c>
      <c r="B57" s="33" t="s">
        <v>66</v>
      </c>
      <c r="C57" s="15" t="s">
        <v>126</v>
      </c>
      <c r="D57" s="15"/>
      <c r="E57" s="35" t="s">
        <v>93</v>
      </c>
      <c r="F57" s="16">
        <f>WORKDAY(G55,1)</f>
        <v>44988</v>
      </c>
      <c r="G57" s="16">
        <f t="shared" si="22"/>
        <v>44991</v>
      </c>
      <c r="H57" s="37"/>
      <c r="I57" s="38"/>
      <c r="J57" s="37"/>
      <c r="K57" s="39" t="e">
        <f t="shared" ca="1" si="0"/>
        <v>#NAME?</v>
      </c>
      <c r="L57" s="40">
        <v>0</v>
      </c>
      <c r="M57" s="40" t="e">
        <f t="shared" ca="1" si="15"/>
        <v>#NAME?</v>
      </c>
      <c r="N57" s="41">
        <f t="shared" si="2"/>
        <v>3</v>
      </c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 spans="1:30" ht="12.75" outlineLevel="3">
      <c r="A58" s="14" t="s">
        <v>100</v>
      </c>
      <c r="B58" s="15" t="s">
        <v>104</v>
      </c>
      <c r="C58" s="15" t="s">
        <v>126</v>
      </c>
      <c r="D58" s="15"/>
      <c r="E58" s="15" t="s">
        <v>93</v>
      </c>
      <c r="F58" s="16">
        <f>WORKDAY(G57,1)</f>
        <v>44992</v>
      </c>
      <c r="G58" s="16">
        <f t="shared" si="22"/>
        <v>44993</v>
      </c>
      <c r="I58" s="16"/>
      <c r="K58" s="17" t="e">
        <f t="shared" ca="1" si="0"/>
        <v>#NAME?</v>
      </c>
      <c r="L58" s="18">
        <v>0</v>
      </c>
      <c r="M58" s="19" t="e">
        <f t="shared" ca="1" si="15"/>
        <v>#NAME?</v>
      </c>
      <c r="N58" s="17">
        <f t="shared" si="2"/>
        <v>1</v>
      </c>
    </row>
    <row r="59" spans="1:30" ht="12.75" outlineLevel="3">
      <c r="A59" s="14" t="s">
        <v>100</v>
      </c>
      <c r="B59" s="15" t="s">
        <v>66</v>
      </c>
      <c r="C59" s="15" t="s">
        <v>127</v>
      </c>
      <c r="D59" s="15"/>
      <c r="E59" s="15" t="s">
        <v>93</v>
      </c>
      <c r="F59" s="16">
        <f>WORKDAY(G57,1)</f>
        <v>44992</v>
      </c>
      <c r="G59" s="16">
        <f t="shared" si="22"/>
        <v>44993</v>
      </c>
      <c r="I59" s="16"/>
      <c r="K59" s="17" t="e">
        <f t="shared" ca="1" si="0"/>
        <v>#NAME?</v>
      </c>
      <c r="L59" s="18">
        <v>0</v>
      </c>
      <c r="M59" s="19" t="e">
        <f t="shared" ca="1" si="15"/>
        <v>#NAME?</v>
      </c>
      <c r="N59" s="17">
        <f t="shared" si="2"/>
        <v>1</v>
      </c>
    </row>
    <row r="60" spans="1:30" ht="12.75" outlineLevel="3">
      <c r="A60" s="14" t="s">
        <v>100</v>
      </c>
      <c r="B60" s="15" t="s">
        <v>104</v>
      </c>
      <c r="C60" s="15" t="s">
        <v>127</v>
      </c>
      <c r="D60" s="15"/>
      <c r="E60" s="15" t="s">
        <v>93</v>
      </c>
      <c r="F60" s="16">
        <f>WORKDAY(G59,1)</f>
        <v>44994</v>
      </c>
      <c r="G60" s="16">
        <f t="shared" si="22"/>
        <v>44995</v>
      </c>
      <c r="I60" s="16"/>
      <c r="K60" s="17" t="e">
        <f t="shared" ca="1" si="0"/>
        <v>#NAME?</v>
      </c>
      <c r="L60" s="18">
        <v>0</v>
      </c>
      <c r="M60" s="19" t="e">
        <f t="shared" ca="1" si="15"/>
        <v>#NAME?</v>
      </c>
      <c r="N60" s="17">
        <f t="shared" si="2"/>
        <v>1</v>
      </c>
    </row>
    <row r="61" spans="1:30" ht="12.75" outlineLevel="3">
      <c r="A61" s="34" t="s">
        <v>100</v>
      </c>
      <c r="B61" s="33" t="s">
        <v>66</v>
      </c>
      <c r="C61" s="15" t="s">
        <v>128</v>
      </c>
      <c r="D61" s="15"/>
      <c r="E61" s="35" t="s">
        <v>93</v>
      </c>
      <c r="F61" s="16">
        <f>WORKDAY(G59,1)</f>
        <v>44994</v>
      </c>
      <c r="G61" s="16">
        <f t="shared" si="22"/>
        <v>44995</v>
      </c>
      <c r="H61" s="37"/>
      <c r="I61" s="38"/>
      <c r="J61" s="37"/>
      <c r="K61" s="39" t="e">
        <f t="shared" ca="1" si="0"/>
        <v>#NAME?</v>
      </c>
      <c r="L61" s="40">
        <v>0</v>
      </c>
      <c r="M61" s="40" t="e">
        <f t="shared" ca="1" si="15"/>
        <v>#NAME?</v>
      </c>
      <c r="N61" s="41">
        <f t="shared" si="2"/>
        <v>1</v>
      </c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 spans="1:30" ht="12.75" outlineLevel="3">
      <c r="A62" s="14" t="s">
        <v>100</v>
      </c>
      <c r="B62" s="15" t="s">
        <v>104</v>
      </c>
      <c r="C62" s="15" t="s">
        <v>128</v>
      </c>
      <c r="D62" s="15"/>
      <c r="E62" s="15" t="s">
        <v>93</v>
      </c>
      <c r="F62" s="16">
        <f>WORKDAY(G61,1)</f>
        <v>44998</v>
      </c>
      <c r="G62" s="16">
        <f t="shared" si="22"/>
        <v>44999</v>
      </c>
      <c r="I62" s="16"/>
      <c r="K62" s="17" t="e">
        <f t="shared" ca="1" si="0"/>
        <v>#NAME?</v>
      </c>
      <c r="L62" s="18">
        <v>0</v>
      </c>
      <c r="M62" s="19" t="e">
        <f t="shared" ca="1" si="15"/>
        <v>#NAME?</v>
      </c>
      <c r="N62" s="17">
        <f t="shared" si="2"/>
        <v>1</v>
      </c>
    </row>
    <row r="63" spans="1:30" ht="12.75" outlineLevel="3">
      <c r="A63" s="34" t="s">
        <v>100</v>
      </c>
      <c r="B63" s="33" t="s">
        <v>66</v>
      </c>
      <c r="C63" s="15" t="s">
        <v>129</v>
      </c>
      <c r="D63" s="15"/>
      <c r="E63" s="35" t="s">
        <v>93</v>
      </c>
      <c r="F63" s="16">
        <f>WORKDAY(G61,1)</f>
        <v>44998</v>
      </c>
      <c r="G63" s="16">
        <f t="shared" si="22"/>
        <v>44999</v>
      </c>
      <c r="H63" s="37"/>
      <c r="I63" s="38"/>
      <c r="J63" s="37"/>
      <c r="K63" s="39" t="e">
        <f t="shared" ca="1" si="0"/>
        <v>#NAME?</v>
      </c>
      <c r="L63" s="40">
        <v>0</v>
      </c>
      <c r="M63" s="40" t="e">
        <f t="shared" ca="1" si="15"/>
        <v>#NAME?</v>
      </c>
      <c r="N63" s="41">
        <f t="shared" si="2"/>
        <v>1</v>
      </c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2.75" outlineLevel="3">
      <c r="A64" s="14" t="s">
        <v>100</v>
      </c>
      <c r="B64" s="15" t="s">
        <v>104</v>
      </c>
      <c r="C64" s="15" t="s">
        <v>129</v>
      </c>
      <c r="D64" s="15"/>
      <c r="E64" s="15" t="s">
        <v>93</v>
      </c>
      <c r="F64" s="16">
        <f>WORKDAY(G63,1)</f>
        <v>45000</v>
      </c>
      <c r="G64" s="16">
        <f t="shared" si="22"/>
        <v>45001</v>
      </c>
      <c r="I64" s="16"/>
      <c r="K64" s="17" t="e">
        <f t="shared" ca="1" si="0"/>
        <v>#NAME?</v>
      </c>
      <c r="L64" s="18">
        <v>0</v>
      </c>
      <c r="M64" s="19" t="e">
        <f t="shared" ca="1" si="15"/>
        <v>#NAME?</v>
      </c>
      <c r="N64" s="17">
        <f t="shared" si="2"/>
        <v>1</v>
      </c>
    </row>
    <row r="65" spans="1:30" ht="12.75" outlineLevel="3">
      <c r="A65" s="14" t="s">
        <v>100</v>
      </c>
      <c r="B65" s="15" t="s">
        <v>130</v>
      </c>
      <c r="C65" s="15" t="s">
        <v>131</v>
      </c>
      <c r="D65" s="15"/>
      <c r="E65" s="15" t="s">
        <v>93</v>
      </c>
      <c r="F65" s="16">
        <f>WORKDAY(G63,1)</f>
        <v>45000</v>
      </c>
      <c r="G65" s="16">
        <f t="shared" si="22"/>
        <v>45001</v>
      </c>
      <c r="I65" s="16"/>
      <c r="K65" s="17" t="e">
        <f t="shared" ca="1" si="0"/>
        <v>#NAME?</v>
      </c>
      <c r="L65" s="18">
        <v>0</v>
      </c>
      <c r="M65" s="19" t="e">
        <f t="shared" ca="1" si="15"/>
        <v>#NAME?</v>
      </c>
      <c r="N65" s="17">
        <f t="shared" si="2"/>
        <v>1</v>
      </c>
    </row>
    <row r="66" spans="1:30" ht="12.75" outlineLevel="3">
      <c r="A66" s="14" t="s">
        <v>100</v>
      </c>
      <c r="B66" s="15" t="s">
        <v>104</v>
      </c>
      <c r="C66" s="15" t="s">
        <v>131</v>
      </c>
      <c r="D66" s="15"/>
      <c r="E66" s="15" t="s">
        <v>93</v>
      </c>
      <c r="F66" s="16">
        <f>WORKDAY(G65,1)</f>
        <v>45002</v>
      </c>
      <c r="G66" s="16">
        <f t="shared" si="22"/>
        <v>45005</v>
      </c>
      <c r="I66" s="16"/>
      <c r="K66" s="17" t="e">
        <f t="shared" ca="1" si="0"/>
        <v>#NAME?</v>
      </c>
      <c r="L66" s="18">
        <v>0</v>
      </c>
      <c r="M66" s="19" t="e">
        <f t="shared" ca="1" si="15"/>
        <v>#NAME?</v>
      </c>
      <c r="N66" s="17">
        <f t="shared" si="2"/>
        <v>3</v>
      </c>
    </row>
    <row r="67" spans="1:30" ht="12.75" outlineLevel="2">
      <c r="A67" s="28" t="s">
        <v>132</v>
      </c>
      <c r="B67" s="29" t="s">
        <v>133</v>
      </c>
      <c r="D67" s="15"/>
      <c r="E67" s="29"/>
      <c r="F67" s="31">
        <f>MIN(F68:F72)</f>
        <v>44970</v>
      </c>
      <c r="G67" s="31">
        <f>MAX(G68:G72)</f>
        <v>44993</v>
      </c>
      <c r="H67" s="31"/>
      <c r="I67" s="31"/>
      <c r="J67" s="30"/>
      <c r="K67" s="30" t="e">
        <f t="shared" ca="1" si="0"/>
        <v>#NAME?</v>
      </c>
      <c r="L67" s="32">
        <f t="shared" ref="L67:M67" si="23">AVERAGE(L68:L72)</f>
        <v>0</v>
      </c>
      <c r="M67" s="32" t="e">
        <f t="shared" ca="1" si="23"/>
        <v>#NAME?</v>
      </c>
      <c r="N67" s="30">
        <f t="shared" si="2"/>
        <v>23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 ht="12.75" outlineLevel="3">
      <c r="A68" s="14" t="s">
        <v>134</v>
      </c>
      <c r="B68" s="15" t="s">
        <v>91</v>
      </c>
      <c r="C68" s="15" t="s">
        <v>135</v>
      </c>
      <c r="D68" s="15"/>
      <c r="E68" s="15" t="s">
        <v>137</v>
      </c>
      <c r="F68" s="16">
        <v>44970</v>
      </c>
      <c r="G68" s="16">
        <f t="shared" ref="G68:G71" si="24">WORKDAY(F68,3)</f>
        <v>44973</v>
      </c>
      <c r="H68" s="16"/>
      <c r="I68" s="16"/>
      <c r="K68" s="17" t="e">
        <f t="shared" ca="1" si="0"/>
        <v>#NAME?</v>
      </c>
      <c r="L68" s="18">
        <v>0</v>
      </c>
      <c r="M68" s="19" t="e">
        <f t="shared" ref="M68:M72" ca="1" si="25">IFS(L68=1,1,F68=TODAY(),0,(AND(F68=G68,F68=TODAY())),(NOW()-TODAY()),(TODAY()-F68)/N68&gt;=1,1,(TODAY()-F68)/N68&lt;0,0,AND((TODAY()-F68)/N68&lt;1,(TODAY()-F68)/N68&gt;0),(TODAY()-F68)/N68)</f>
        <v>#NAME?</v>
      </c>
      <c r="N68" s="15">
        <f t="shared" si="2"/>
        <v>3</v>
      </c>
    </row>
    <row r="69" spans="1:30" ht="12.75" outlineLevel="3">
      <c r="A69" s="14" t="s">
        <v>138</v>
      </c>
      <c r="B69" s="15" t="s">
        <v>91</v>
      </c>
      <c r="C69" s="15" t="s">
        <v>139</v>
      </c>
      <c r="D69" s="15"/>
      <c r="E69" s="15" t="s">
        <v>137</v>
      </c>
      <c r="F69" s="16">
        <f t="shared" ref="F69:F72" si="26">WORKDAY(G68,1)</f>
        <v>44974</v>
      </c>
      <c r="G69" s="16">
        <f t="shared" si="24"/>
        <v>44979</v>
      </c>
      <c r="H69" s="16"/>
      <c r="I69" s="16"/>
      <c r="K69" s="17" t="e">
        <f t="shared" ca="1" si="0"/>
        <v>#NAME?</v>
      </c>
      <c r="L69" s="18">
        <v>0</v>
      </c>
      <c r="M69" s="19" t="e">
        <f t="shared" ca="1" si="25"/>
        <v>#NAME?</v>
      </c>
      <c r="N69" s="15">
        <f t="shared" si="2"/>
        <v>5</v>
      </c>
    </row>
    <row r="70" spans="1:30" ht="12.75" outlineLevel="3">
      <c r="A70" s="14" t="s">
        <v>140</v>
      </c>
      <c r="B70" s="15" t="s">
        <v>91</v>
      </c>
      <c r="C70" s="15" t="s">
        <v>141</v>
      </c>
      <c r="D70" s="15"/>
      <c r="E70" s="15" t="s">
        <v>137</v>
      </c>
      <c r="F70" s="16">
        <f t="shared" si="26"/>
        <v>44980</v>
      </c>
      <c r="G70" s="16">
        <f t="shared" si="24"/>
        <v>44985</v>
      </c>
      <c r="H70" s="16"/>
      <c r="I70" s="16"/>
      <c r="K70" s="17" t="e">
        <f t="shared" ca="1" si="0"/>
        <v>#NAME?</v>
      </c>
      <c r="L70" s="18">
        <v>0</v>
      </c>
      <c r="M70" s="19" t="e">
        <f t="shared" ca="1" si="25"/>
        <v>#NAME?</v>
      </c>
      <c r="N70" s="15">
        <f t="shared" si="2"/>
        <v>5</v>
      </c>
    </row>
    <row r="71" spans="1:30" ht="12.75" outlineLevel="3">
      <c r="A71" s="14" t="s">
        <v>142</v>
      </c>
      <c r="B71" s="33" t="s">
        <v>66</v>
      </c>
      <c r="C71" s="15" t="s">
        <v>143</v>
      </c>
      <c r="D71" s="15"/>
      <c r="E71" s="15" t="s">
        <v>137</v>
      </c>
      <c r="F71" s="16">
        <f t="shared" si="26"/>
        <v>44986</v>
      </c>
      <c r="G71" s="16">
        <f t="shared" si="24"/>
        <v>44991</v>
      </c>
      <c r="H71" s="16"/>
      <c r="I71" s="16"/>
      <c r="K71" s="17" t="e">
        <f t="shared" ca="1" si="0"/>
        <v>#NAME?</v>
      </c>
      <c r="L71" s="18">
        <v>0</v>
      </c>
      <c r="M71" s="19" t="e">
        <f t="shared" ca="1" si="25"/>
        <v>#NAME?</v>
      </c>
      <c r="N71" s="15">
        <f t="shared" si="2"/>
        <v>5</v>
      </c>
    </row>
    <row r="72" spans="1:30" ht="12.75" outlineLevel="3">
      <c r="A72" s="14" t="s">
        <v>144</v>
      </c>
      <c r="B72" s="15" t="s">
        <v>104</v>
      </c>
      <c r="C72" s="15" t="s">
        <v>143</v>
      </c>
      <c r="D72" s="15"/>
      <c r="E72" s="15" t="s">
        <v>137</v>
      </c>
      <c r="F72" s="16">
        <f t="shared" si="26"/>
        <v>44992</v>
      </c>
      <c r="G72" s="16">
        <f>WORKDAY(F72,1)</f>
        <v>44993</v>
      </c>
      <c r="H72" s="16"/>
      <c r="I72" s="16"/>
      <c r="K72" s="17" t="e">
        <f t="shared" ca="1" si="0"/>
        <v>#NAME?</v>
      </c>
      <c r="L72" s="18">
        <v>0</v>
      </c>
      <c r="M72" s="19" t="e">
        <f t="shared" ca="1" si="25"/>
        <v>#NAME?</v>
      </c>
      <c r="N72" s="15">
        <f t="shared" si="2"/>
        <v>1</v>
      </c>
    </row>
    <row r="73" spans="1:30" ht="12.75" outlineLevel="2">
      <c r="A73" s="28" t="s">
        <v>145</v>
      </c>
      <c r="B73" s="29" t="s">
        <v>146</v>
      </c>
      <c r="D73" s="15"/>
      <c r="E73" s="29"/>
      <c r="F73" s="31">
        <f>MIN(F74:F79)</f>
        <v>44992</v>
      </c>
      <c r="G73" s="31">
        <f>MAX(G74:G79)</f>
        <v>44998</v>
      </c>
      <c r="H73" s="31"/>
      <c r="I73" s="31"/>
      <c r="J73" s="30"/>
      <c r="K73" s="30" t="e">
        <f t="shared" ca="1" si="0"/>
        <v>#NAME?</v>
      </c>
      <c r="L73" s="32">
        <f t="shared" ref="L73:M73" si="27">AVERAGE(L74:L79)</f>
        <v>0</v>
      </c>
      <c r="M73" s="32" t="e">
        <f t="shared" ca="1" si="27"/>
        <v>#NAME?</v>
      </c>
      <c r="N73" s="30">
        <f t="shared" si="2"/>
        <v>6</v>
      </c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 ht="12.75" outlineLevel="3">
      <c r="A74" s="14" t="s">
        <v>147</v>
      </c>
      <c r="B74" s="15" t="s">
        <v>146</v>
      </c>
      <c r="C74" s="15" t="s">
        <v>148</v>
      </c>
      <c r="D74" s="15"/>
      <c r="E74" s="15" t="s">
        <v>93</v>
      </c>
      <c r="F74" s="16">
        <f>WORKDAY(G51,1)</f>
        <v>44993</v>
      </c>
      <c r="G74" s="16">
        <f t="shared" ref="G74:G76" si="28">WORKDAY(F74,1)</f>
        <v>44994</v>
      </c>
      <c r="H74" s="16"/>
      <c r="I74" s="16"/>
      <c r="K74" s="17" t="e">
        <f t="shared" ca="1" si="0"/>
        <v>#NAME?</v>
      </c>
      <c r="L74" s="18">
        <v>0</v>
      </c>
      <c r="M74" s="19" t="e">
        <f t="shared" ref="M74:M79" ca="1" si="29">IFS(L74=1,1,F74=TODAY(),0,(AND(F74=G74,F74=TODAY())),(NOW()-TODAY()),(TODAY()-F74)/N74&gt;=1,1,(TODAY()-F74)/N74&lt;0,0,AND((TODAY()-F74)/N74&lt;1,(TODAY()-F74)/N74&gt;0),(TODAY()-F74)/N74)</f>
        <v>#NAME?</v>
      </c>
      <c r="N74" s="17">
        <f t="shared" si="2"/>
        <v>1</v>
      </c>
    </row>
    <row r="75" spans="1:30" ht="12.75" outlineLevel="3">
      <c r="A75" s="14" t="s">
        <v>149</v>
      </c>
      <c r="B75" s="15" t="s">
        <v>146</v>
      </c>
      <c r="C75" s="15" t="s">
        <v>150</v>
      </c>
      <c r="D75" s="15"/>
      <c r="E75" s="15" t="s">
        <v>93</v>
      </c>
      <c r="F75" s="16">
        <f>WORKDAY(G74,1)</f>
        <v>44995</v>
      </c>
      <c r="G75" s="16">
        <f t="shared" si="28"/>
        <v>44998</v>
      </c>
      <c r="H75" s="16"/>
      <c r="I75" s="16"/>
      <c r="K75" s="17" t="e">
        <f t="shared" ca="1" si="0"/>
        <v>#NAME?</v>
      </c>
      <c r="L75" s="18">
        <v>0</v>
      </c>
      <c r="M75" s="19" t="e">
        <f t="shared" ca="1" si="29"/>
        <v>#NAME?</v>
      </c>
      <c r="N75" s="17">
        <f t="shared" si="2"/>
        <v>3</v>
      </c>
    </row>
    <row r="76" spans="1:30" ht="12.75" outlineLevel="3">
      <c r="A76" s="14" t="s">
        <v>151</v>
      </c>
      <c r="B76" s="15" t="s">
        <v>146</v>
      </c>
      <c r="C76" s="15" t="s">
        <v>152</v>
      </c>
      <c r="D76" s="15"/>
      <c r="E76" s="15" t="s">
        <v>93</v>
      </c>
      <c r="F76" s="16">
        <f>WORKDAY(G43,1)</f>
        <v>44992</v>
      </c>
      <c r="G76" s="16">
        <f t="shared" si="28"/>
        <v>44993</v>
      </c>
      <c r="H76" s="16"/>
      <c r="I76" s="16"/>
      <c r="K76" s="17" t="e">
        <f t="shared" ca="1" si="0"/>
        <v>#NAME?</v>
      </c>
      <c r="L76" s="18">
        <v>0</v>
      </c>
      <c r="M76" s="19" t="e">
        <f t="shared" ca="1" si="29"/>
        <v>#NAME?</v>
      </c>
      <c r="N76" s="17">
        <f t="shared" si="2"/>
        <v>1</v>
      </c>
    </row>
    <row r="77" spans="1:30" ht="12.75" outlineLevel="3">
      <c r="A77" s="14" t="s">
        <v>147</v>
      </c>
      <c r="B77" s="15" t="s">
        <v>146</v>
      </c>
      <c r="C77" s="15" t="s">
        <v>152</v>
      </c>
      <c r="D77" s="15"/>
      <c r="E77" s="15" t="s">
        <v>137</v>
      </c>
      <c r="F77" s="16">
        <f t="shared" ref="F77:G77" si="30">F74</f>
        <v>44993</v>
      </c>
      <c r="G77" s="16">
        <f t="shared" si="30"/>
        <v>44994</v>
      </c>
      <c r="H77" s="16"/>
      <c r="I77" s="16"/>
      <c r="K77" s="17" t="e">
        <f t="shared" ca="1" si="0"/>
        <v>#NAME?</v>
      </c>
      <c r="L77" s="18">
        <v>0</v>
      </c>
      <c r="M77" s="19" t="e">
        <f t="shared" ca="1" si="29"/>
        <v>#NAME?</v>
      </c>
      <c r="N77" s="15">
        <f t="shared" si="2"/>
        <v>1</v>
      </c>
    </row>
    <row r="78" spans="1:30" ht="12.75" outlineLevel="3">
      <c r="A78" s="14" t="s">
        <v>149</v>
      </c>
      <c r="B78" s="15" t="s">
        <v>146</v>
      </c>
      <c r="C78" s="15" t="s">
        <v>148</v>
      </c>
      <c r="D78" s="15"/>
      <c r="E78" s="15" t="s">
        <v>137</v>
      </c>
      <c r="F78" s="16">
        <f t="shared" ref="F78:G78" si="31">F75</f>
        <v>44995</v>
      </c>
      <c r="G78" s="16">
        <f t="shared" si="31"/>
        <v>44998</v>
      </c>
      <c r="H78" s="16"/>
      <c r="I78" s="16"/>
      <c r="K78" s="17" t="e">
        <f t="shared" ca="1" si="0"/>
        <v>#NAME?</v>
      </c>
      <c r="L78" s="18">
        <v>0</v>
      </c>
      <c r="M78" s="19" t="e">
        <f t="shared" ca="1" si="29"/>
        <v>#NAME?</v>
      </c>
      <c r="N78" s="15">
        <f t="shared" si="2"/>
        <v>3</v>
      </c>
    </row>
    <row r="79" spans="1:30" ht="12.75" outlineLevel="3">
      <c r="A79" s="14" t="s">
        <v>151</v>
      </c>
      <c r="B79" s="15" t="s">
        <v>146</v>
      </c>
      <c r="C79" s="15" t="s">
        <v>150</v>
      </c>
      <c r="D79" s="15"/>
      <c r="E79" s="15" t="s">
        <v>137</v>
      </c>
      <c r="F79" s="16">
        <f t="shared" ref="F79:G79" si="32">F76</f>
        <v>44992</v>
      </c>
      <c r="G79" s="16">
        <f t="shared" si="32"/>
        <v>44993</v>
      </c>
      <c r="H79" s="16"/>
      <c r="I79" s="16"/>
      <c r="K79" s="17" t="e">
        <f t="shared" ca="1" si="0"/>
        <v>#NAME?</v>
      </c>
      <c r="L79" s="18">
        <v>0</v>
      </c>
      <c r="M79" s="19" t="e">
        <f t="shared" ca="1" si="29"/>
        <v>#NAME?</v>
      </c>
      <c r="N79" s="15">
        <f t="shared" si="2"/>
        <v>1</v>
      </c>
    </row>
    <row r="80" spans="1:30" ht="12.75" outlineLevel="2">
      <c r="A80" s="28" t="s">
        <v>153</v>
      </c>
      <c r="B80" s="29" t="s">
        <v>154</v>
      </c>
      <c r="C80" s="30"/>
      <c r="D80" s="15"/>
      <c r="E80" s="29"/>
      <c r="F80" s="31">
        <f>MIN(F81:F86)</f>
        <v>44988</v>
      </c>
      <c r="G80" s="31">
        <f>MAX(G81:G86)</f>
        <v>44995</v>
      </c>
      <c r="H80" s="31"/>
      <c r="I80" s="31"/>
      <c r="J80" s="30"/>
      <c r="K80" s="30" t="e">
        <f t="shared" ca="1" si="0"/>
        <v>#NAME?</v>
      </c>
      <c r="L80" s="32">
        <f t="shared" ref="L80:M80" si="33">AVERAGE(L81:L86)</f>
        <v>0</v>
      </c>
      <c r="M80" s="32" t="e">
        <f t="shared" ca="1" si="33"/>
        <v>#NAME?</v>
      </c>
      <c r="N80" s="30">
        <f t="shared" si="2"/>
        <v>7</v>
      </c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 ht="12.75" outlineLevel="3">
      <c r="A81" s="14" t="s">
        <v>155</v>
      </c>
      <c r="B81" s="15" t="s">
        <v>152</v>
      </c>
      <c r="C81" s="15" t="s">
        <v>156</v>
      </c>
      <c r="D81" s="15" t="s">
        <v>125</v>
      </c>
      <c r="E81" s="15" t="s">
        <v>24</v>
      </c>
      <c r="F81" s="43">
        <f>WORKDAY(G42,1)</f>
        <v>44988</v>
      </c>
      <c r="G81" s="43">
        <f>F81</f>
        <v>44988</v>
      </c>
      <c r="H81" s="43"/>
      <c r="I81" s="43"/>
      <c r="J81" s="15" t="s">
        <v>157</v>
      </c>
      <c r="K81" s="17" t="e">
        <f t="shared" ca="1" si="0"/>
        <v>#NAME?</v>
      </c>
      <c r="L81" s="18">
        <v>0</v>
      </c>
      <c r="M81" s="19" t="e">
        <f t="shared" ref="M81:M86" ca="1" si="34">IFS(L81=1,1,F81=TODAY(),0,(AND(F81=G81,F81=TODAY())),(NOW()-TODAY()),(TODAY()-F81)/N81&gt;=1,1,(TODAY()-F81)/N81&lt;0,0,AND((TODAY()-F81)/N81&lt;1,(TODAY()-F81)/N81&gt;0),(TODAY()-F81)/N81)</f>
        <v>#NAME?</v>
      </c>
      <c r="N81" s="17">
        <f t="shared" si="2"/>
        <v>1</v>
      </c>
    </row>
    <row r="82" spans="1:30" ht="12.75" outlineLevel="3">
      <c r="A82" s="14" t="s">
        <v>155</v>
      </c>
      <c r="B82" s="15" t="s">
        <v>152</v>
      </c>
      <c r="C82" s="15" t="s">
        <v>158</v>
      </c>
      <c r="D82" s="15"/>
      <c r="E82" s="15" t="s">
        <v>24</v>
      </c>
      <c r="F82" s="43">
        <f>WORKDAY(G81,1)</f>
        <v>44991</v>
      </c>
      <c r="G82" s="16">
        <f>WORKDAY(F82,4)</f>
        <v>44995</v>
      </c>
      <c r="H82" s="43"/>
      <c r="I82" s="16"/>
      <c r="K82" s="17" t="e">
        <f t="shared" ca="1" si="0"/>
        <v>#NAME?</v>
      </c>
      <c r="L82" s="18">
        <v>0</v>
      </c>
      <c r="M82" s="19" t="e">
        <f t="shared" ca="1" si="34"/>
        <v>#NAME?</v>
      </c>
      <c r="N82" s="17">
        <f t="shared" si="2"/>
        <v>4</v>
      </c>
    </row>
    <row r="83" spans="1:30" ht="12.75" outlineLevel="3">
      <c r="A83" s="14" t="s">
        <v>159</v>
      </c>
      <c r="B83" s="15" t="s">
        <v>148</v>
      </c>
      <c r="C83" s="15" t="s">
        <v>156</v>
      </c>
      <c r="D83" s="15"/>
      <c r="E83" s="15" t="s">
        <v>24</v>
      </c>
      <c r="F83" s="43">
        <f>WORKDAY(G50,1)</f>
        <v>44988</v>
      </c>
      <c r="G83" s="43">
        <f>G81</f>
        <v>44988</v>
      </c>
      <c r="H83" s="43"/>
      <c r="I83" s="43"/>
      <c r="J83" s="15" t="s">
        <v>157</v>
      </c>
      <c r="K83" s="17" t="e">
        <f t="shared" ca="1" si="0"/>
        <v>#NAME?</v>
      </c>
      <c r="L83" s="18">
        <v>0</v>
      </c>
      <c r="M83" s="19" t="e">
        <f t="shared" ca="1" si="34"/>
        <v>#NAME?</v>
      </c>
      <c r="N83" s="17">
        <f t="shared" si="2"/>
        <v>1</v>
      </c>
    </row>
    <row r="84" spans="1:30" ht="12.75" outlineLevel="3">
      <c r="A84" s="14" t="s">
        <v>160</v>
      </c>
      <c r="B84" s="15" t="s">
        <v>148</v>
      </c>
      <c r="C84" s="15" t="s">
        <v>158</v>
      </c>
      <c r="D84" s="15"/>
      <c r="E84" s="15" t="s">
        <v>24</v>
      </c>
      <c r="F84" s="43">
        <f>F82</f>
        <v>44991</v>
      </c>
      <c r="G84" s="16">
        <f>WORKDAY(F84,4)</f>
        <v>44995</v>
      </c>
      <c r="H84" s="43"/>
      <c r="I84" s="44"/>
      <c r="K84" s="17" t="e">
        <f t="shared" ca="1" si="0"/>
        <v>#NAME?</v>
      </c>
      <c r="L84" s="18">
        <v>0</v>
      </c>
      <c r="M84" s="19" t="e">
        <f t="shared" ca="1" si="34"/>
        <v>#NAME?</v>
      </c>
      <c r="N84" s="17">
        <f t="shared" si="2"/>
        <v>4</v>
      </c>
    </row>
    <row r="85" spans="1:30" ht="12.75" outlineLevel="3">
      <c r="A85" s="14" t="s">
        <v>161</v>
      </c>
      <c r="B85" s="15" t="s">
        <v>150</v>
      </c>
      <c r="C85" s="15" t="s">
        <v>156</v>
      </c>
      <c r="D85" s="15"/>
      <c r="E85" s="15" t="s">
        <v>24</v>
      </c>
      <c r="F85" s="43">
        <f>WORKDAY(G51,1)</f>
        <v>44993</v>
      </c>
      <c r="G85" s="43">
        <f>F85</f>
        <v>44993</v>
      </c>
      <c r="H85" s="43"/>
      <c r="I85" s="43"/>
      <c r="J85" s="15" t="s">
        <v>157</v>
      </c>
      <c r="K85" s="17" t="e">
        <f t="shared" ca="1" si="0"/>
        <v>#NAME?</v>
      </c>
      <c r="L85" s="18">
        <v>0</v>
      </c>
      <c r="M85" s="19" t="e">
        <f t="shared" ca="1" si="34"/>
        <v>#NAME?</v>
      </c>
      <c r="N85" s="17">
        <f t="shared" si="2"/>
        <v>1</v>
      </c>
    </row>
    <row r="86" spans="1:30" ht="12.75" outlineLevel="3">
      <c r="A86" s="14" t="s">
        <v>162</v>
      </c>
      <c r="B86" s="15" t="s">
        <v>150</v>
      </c>
      <c r="C86" s="15" t="s">
        <v>158</v>
      </c>
      <c r="D86" s="15"/>
      <c r="E86" s="15" t="s">
        <v>24</v>
      </c>
      <c r="F86" s="43">
        <f>F84</f>
        <v>44991</v>
      </c>
      <c r="G86" s="16">
        <f>WORKDAY(F86,4)</f>
        <v>44995</v>
      </c>
      <c r="H86" s="43"/>
      <c r="I86" s="44"/>
      <c r="K86" s="17" t="e">
        <f t="shared" ca="1" si="0"/>
        <v>#NAME?</v>
      </c>
      <c r="L86" s="18">
        <v>0</v>
      </c>
      <c r="M86" s="19" t="e">
        <f t="shared" ca="1" si="34"/>
        <v>#NAME?</v>
      </c>
      <c r="N86" s="17">
        <f t="shared" si="2"/>
        <v>4</v>
      </c>
    </row>
    <row r="87" spans="1:30" ht="15" outlineLevel="1">
      <c r="A87" s="20" t="s">
        <v>163</v>
      </c>
      <c r="B87" s="21" t="s">
        <v>164</v>
      </c>
      <c r="C87" s="22"/>
      <c r="D87" s="21"/>
      <c r="E87" s="21"/>
      <c r="F87" s="23">
        <f>MIN(F88:F99)</f>
        <v>44977</v>
      </c>
      <c r="G87" s="23">
        <f>MAX(G88:G99)</f>
        <v>45064</v>
      </c>
      <c r="H87" s="23"/>
      <c r="I87" s="23"/>
      <c r="J87" s="22"/>
      <c r="K87" s="22" t="e">
        <f t="shared" ca="1" si="0"/>
        <v>#NAME?</v>
      </c>
      <c r="L87" s="24">
        <f t="shared" ref="L87:M87" si="35">AVERAGE(L88,L93,L97)</f>
        <v>0</v>
      </c>
      <c r="M87" s="24" t="e">
        <f t="shared" ca="1" si="35"/>
        <v>#NAME?</v>
      </c>
      <c r="N87" s="22">
        <f t="shared" si="2"/>
        <v>87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 spans="1:30" ht="12.75" outlineLevel="2">
      <c r="A88" s="28" t="s">
        <v>165</v>
      </c>
      <c r="B88" s="29" t="s">
        <v>166</v>
      </c>
      <c r="C88" s="29"/>
      <c r="D88" s="29"/>
      <c r="E88" s="29"/>
      <c r="F88" s="31">
        <f>MIN(F89:F92)</f>
        <v>44977</v>
      </c>
      <c r="G88" s="31">
        <f>MAX(G89:G92)</f>
        <v>44998</v>
      </c>
      <c r="H88" s="31"/>
      <c r="I88" s="31"/>
      <c r="J88" s="30"/>
      <c r="K88" s="30" t="e">
        <f t="shared" ca="1" si="0"/>
        <v>#NAME?</v>
      </c>
      <c r="L88" s="45">
        <f t="shared" ref="L88:M88" si="36">AVERAGE(L89:L92)</f>
        <v>0</v>
      </c>
      <c r="M88" s="45" t="e">
        <f t="shared" ca="1" si="36"/>
        <v>#NAME?</v>
      </c>
      <c r="N88" s="30">
        <f t="shared" si="2"/>
        <v>21</v>
      </c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spans="1:30" ht="14.25" outlineLevel="3">
      <c r="A89" s="46" t="s">
        <v>167</v>
      </c>
      <c r="B89" s="15" t="s">
        <v>166</v>
      </c>
      <c r="C89" s="15" t="s">
        <v>168</v>
      </c>
      <c r="D89" s="15" t="s">
        <v>125</v>
      </c>
      <c r="E89" s="15" t="s">
        <v>93</v>
      </c>
      <c r="F89" s="16">
        <v>44977</v>
      </c>
      <c r="G89" s="16">
        <f t="shared" ref="G89:G91" si="37">WORKDAY(F89,7)</f>
        <v>44986</v>
      </c>
      <c r="H89" s="16"/>
      <c r="I89" s="16"/>
      <c r="K89" s="17" t="e">
        <f t="shared" ca="1" si="0"/>
        <v>#NAME?</v>
      </c>
      <c r="L89" s="18">
        <v>0</v>
      </c>
      <c r="M89" s="19" t="e">
        <f t="shared" ref="M89:M92" ca="1" si="38">IFS(L89=1,1,F89=TODAY(),0,(AND(F89=G89,F89=TODAY())),(NOW()-TODAY()),(TODAY()-F89)/N89&gt;=1,1,(TODAY()-F89)/N89&lt;0,0,AND((TODAY()-F89)/N89&lt;1,(TODAY()-F89)/N89&gt;0),(TODAY()-F89)/N89)</f>
        <v>#NAME?</v>
      </c>
      <c r="N89" s="17">
        <f t="shared" si="2"/>
        <v>9</v>
      </c>
    </row>
    <row r="90" spans="1:30" ht="14.25" outlineLevel="3">
      <c r="A90" s="46" t="s">
        <v>167</v>
      </c>
      <c r="B90" s="15" t="s">
        <v>166</v>
      </c>
      <c r="C90" s="15" t="s">
        <v>169</v>
      </c>
      <c r="D90" s="15" t="s">
        <v>125</v>
      </c>
      <c r="E90" s="15" t="s">
        <v>93</v>
      </c>
      <c r="F90" s="16">
        <f>WORKDAY(G89,1)</f>
        <v>44987</v>
      </c>
      <c r="G90" s="16">
        <f t="shared" si="37"/>
        <v>44998</v>
      </c>
      <c r="H90" s="16"/>
      <c r="I90" s="16"/>
      <c r="K90" s="17" t="e">
        <f t="shared" ca="1" si="0"/>
        <v>#NAME?</v>
      </c>
      <c r="L90" s="18">
        <v>0</v>
      </c>
      <c r="M90" s="19" t="e">
        <f t="shared" ca="1" si="38"/>
        <v>#NAME?</v>
      </c>
      <c r="N90" s="17">
        <f t="shared" si="2"/>
        <v>11</v>
      </c>
    </row>
    <row r="91" spans="1:30" ht="14.25" outlineLevel="3">
      <c r="A91" s="46" t="s">
        <v>170</v>
      </c>
      <c r="B91" s="15" t="s">
        <v>166</v>
      </c>
      <c r="C91" s="15" t="s">
        <v>171</v>
      </c>
      <c r="D91" s="15" t="s">
        <v>125</v>
      </c>
      <c r="E91" s="15" t="s">
        <v>93</v>
      </c>
      <c r="F91" s="16">
        <f>WORKDAY(G89,1)</f>
        <v>44987</v>
      </c>
      <c r="G91" s="16">
        <f t="shared" si="37"/>
        <v>44998</v>
      </c>
      <c r="H91" s="16"/>
      <c r="I91" s="16"/>
      <c r="K91" s="17" t="e">
        <f t="shared" ca="1" si="0"/>
        <v>#NAME?</v>
      </c>
      <c r="L91" s="18">
        <v>0</v>
      </c>
      <c r="M91" s="19" t="e">
        <f t="shared" ca="1" si="38"/>
        <v>#NAME?</v>
      </c>
      <c r="N91" s="17">
        <f t="shared" si="2"/>
        <v>11</v>
      </c>
    </row>
    <row r="92" spans="1:30" ht="14.25" outlineLevel="3">
      <c r="A92" s="46" t="s">
        <v>172</v>
      </c>
      <c r="B92" s="15" t="s">
        <v>166</v>
      </c>
      <c r="C92" s="15" t="s">
        <v>173</v>
      </c>
      <c r="D92" s="15" t="s">
        <v>125</v>
      </c>
      <c r="E92" s="15" t="s">
        <v>93</v>
      </c>
      <c r="F92" s="16">
        <f t="shared" ref="F92:G92" si="39">F91</f>
        <v>44987</v>
      </c>
      <c r="G92" s="16">
        <f t="shared" si="39"/>
        <v>44998</v>
      </c>
      <c r="H92" s="16"/>
      <c r="I92" s="16"/>
      <c r="K92" s="17" t="e">
        <f t="shared" ca="1" si="0"/>
        <v>#NAME?</v>
      </c>
      <c r="L92" s="18">
        <v>0</v>
      </c>
      <c r="M92" s="19" t="e">
        <f t="shared" ca="1" si="38"/>
        <v>#NAME?</v>
      </c>
      <c r="N92" s="17">
        <f t="shared" si="2"/>
        <v>11</v>
      </c>
    </row>
    <row r="93" spans="1:30" ht="12.75" outlineLevel="2">
      <c r="A93" s="28" t="s">
        <v>174</v>
      </c>
      <c r="B93" s="29" t="s">
        <v>175</v>
      </c>
      <c r="C93" s="29"/>
      <c r="D93" s="29"/>
      <c r="E93" s="29"/>
      <c r="F93" s="31">
        <f>MIN(F94:F96)</f>
        <v>45022</v>
      </c>
      <c r="G93" s="31">
        <f>MAX(G94:G96)</f>
        <v>45056</v>
      </c>
      <c r="H93" s="31"/>
      <c r="I93" s="31"/>
      <c r="J93" s="30"/>
      <c r="K93" s="30" t="e">
        <f t="shared" ca="1" si="0"/>
        <v>#NAME?</v>
      </c>
      <c r="L93" s="45">
        <f t="shared" ref="L93:M93" si="40">AVERAGE(L94:L96)</f>
        <v>0</v>
      </c>
      <c r="M93" s="45" t="e">
        <f t="shared" ca="1" si="40"/>
        <v>#NAME?</v>
      </c>
      <c r="N93" s="30">
        <f t="shared" si="2"/>
        <v>34</v>
      </c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1:30" ht="12.75" outlineLevel="3">
      <c r="A94" s="14" t="s">
        <v>176</v>
      </c>
      <c r="B94" s="15" t="s">
        <v>175</v>
      </c>
      <c r="C94" s="15" t="s">
        <v>171</v>
      </c>
      <c r="D94" s="15" t="s">
        <v>125</v>
      </c>
      <c r="E94" s="15" t="s">
        <v>93</v>
      </c>
      <c r="F94" s="16">
        <f>WORKDAY(G88,18)</f>
        <v>45022</v>
      </c>
      <c r="G94" s="16">
        <f>WORKDAY(F94,3)</f>
        <v>45027</v>
      </c>
      <c r="H94" s="16"/>
      <c r="I94" s="16"/>
      <c r="K94" s="17" t="e">
        <f t="shared" ca="1" si="0"/>
        <v>#NAME?</v>
      </c>
      <c r="L94" s="18">
        <v>0</v>
      </c>
      <c r="M94" s="19" t="e">
        <f t="shared" ref="M94:M96" ca="1" si="41">IFS(L94=1,1,F94=TODAY(),0,(AND(F94=G94,F94=TODAY())),(NOW()-TODAY()),(TODAY()-F94)/N94&gt;=1,1,(TODAY()-F94)/N94&lt;0,0,AND((TODAY()-F94)/N94&lt;1,(TODAY()-F94)/N94&gt;0),(TODAY()-F94)/N94)</f>
        <v>#NAME?</v>
      </c>
      <c r="N94" s="17">
        <f t="shared" si="2"/>
        <v>5</v>
      </c>
    </row>
    <row r="95" spans="1:30" ht="12.75" outlineLevel="3">
      <c r="A95" s="14" t="s">
        <v>177</v>
      </c>
      <c r="B95" s="15" t="s">
        <v>175</v>
      </c>
      <c r="C95" s="15" t="s">
        <v>173</v>
      </c>
      <c r="D95" s="15"/>
      <c r="E95" s="15" t="s">
        <v>93</v>
      </c>
      <c r="F95" s="16">
        <f>WORKDAY(G94,1)</f>
        <v>45028</v>
      </c>
      <c r="G95" s="16">
        <f>WORKDAY(F95,4)</f>
        <v>45034</v>
      </c>
      <c r="H95" s="16"/>
      <c r="I95" s="16"/>
      <c r="K95" s="17" t="e">
        <f t="shared" ca="1" si="0"/>
        <v>#NAME?</v>
      </c>
      <c r="L95" s="18">
        <v>0</v>
      </c>
      <c r="M95" s="19" t="e">
        <f t="shared" ca="1" si="41"/>
        <v>#NAME?</v>
      </c>
      <c r="N95" s="17">
        <f t="shared" si="2"/>
        <v>6</v>
      </c>
    </row>
    <row r="96" spans="1:30" ht="12.75" outlineLevel="3">
      <c r="A96" s="14" t="s">
        <v>179</v>
      </c>
      <c r="B96" s="15" t="s">
        <v>175</v>
      </c>
      <c r="C96" s="15" t="s">
        <v>180</v>
      </c>
      <c r="D96" s="15"/>
      <c r="E96" s="15" t="s">
        <v>93</v>
      </c>
      <c r="F96" s="16">
        <f>F95</f>
        <v>45028</v>
      </c>
      <c r="G96" s="16">
        <f>WORKDAY(F96,20)</f>
        <v>45056</v>
      </c>
      <c r="H96" s="16"/>
      <c r="I96" s="16"/>
      <c r="K96" s="17" t="e">
        <f t="shared" ca="1" si="0"/>
        <v>#NAME?</v>
      </c>
      <c r="L96" s="18">
        <v>0</v>
      </c>
      <c r="M96" s="19" t="e">
        <f t="shared" ca="1" si="41"/>
        <v>#NAME?</v>
      </c>
      <c r="N96" s="17">
        <f t="shared" si="2"/>
        <v>28</v>
      </c>
    </row>
    <row r="97" spans="1:30" ht="12.75" outlineLevel="2">
      <c r="A97" s="28" t="s">
        <v>181</v>
      </c>
      <c r="B97" s="29" t="s">
        <v>182</v>
      </c>
      <c r="C97" s="30"/>
      <c r="D97" s="29"/>
      <c r="E97" s="29"/>
      <c r="F97" s="31">
        <f>MIN(F98:F99)</f>
        <v>45062</v>
      </c>
      <c r="G97" s="31">
        <f>MAX(G98:G99)</f>
        <v>45064</v>
      </c>
      <c r="H97" s="31"/>
      <c r="I97" s="31"/>
      <c r="J97" s="30"/>
      <c r="K97" s="30" t="e">
        <f t="shared" ca="1" si="0"/>
        <v>#NAME?</v>
      </c>
      <c r="L97" s="45">
        <f t="shared" ref="L97:M97" si="42">AVERAGE(L99)</f>
        <v>0</v>
      </c>
      <c r="M97" s="45" t="e">
        <f t="shared" ca="1" si="42"/>
        <v>#NAME?</v>
      </c>
      <c r="N97" s="30">
        <f t="shared" si="2"/>
        <v>2</v>
      </c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spans="1:30" ht="12.75" outlineLevel="3">
      <c r="A98" s="14" t="s">
        <v>183</v>
      </c>
      <c r="B98" s="15" t="s">
        <v>182</v>
      </c>
      <c r="C98" s="15" t="s">
        <v>184</v>
      </c>
      <c r="D98" s="15"/>
      <c r="E98" s="15" t="s">
        <v>93</v>
      </c>
      <c r="F98" s="16">
        <f>WORKDAY(G96,4)</f>
        <v>45062</v>
      </c>
      <c r="G98" s="16">
        <f t="shared" ref="G98:G99" si="43">F98</f>
        <v>45062</v>
      </c>
      <c r="H98" s="16"/>
      <c r="I98" s="16"/>
      <c r="K98" s="17" t="e">
        <f t="shared" ca="1" si="0"/>
        <v>#NAME?</v>
      </c>
      <c r="L98" s="18">
        <v>0</v>
      </c>
      <c r="M98" s="19" t="e">
        <f t="shared" ref="M98:M99" ca="1" si="44">IFS(L98=1,1,F98=TODAY(),0,(AND(F98=G98,F98=TODAY())),(NOW()-TODAY()),(TODAY()-F98)/N98&gt;=1,1,(TODAY()-F98)/N98&lt;0,0,AND((TODAY()-F98)/N98&lt;1,(TODAY()-F98)/N98&gt;0),(TODAY()-F98)/N98)</f>
        <v>#NAME?</v>
      </c>
      <c r="N98" s="17">
        <f t="shared" si="2"/>
        <v>1</v>
      </c>
    </row>
    <row r="99" spans="1:30" ht="12.75" outlineLevel="3">
      <c r="A99" s="14" t="s">
        <v>185</v>
      </c>
      <c r="B99" s="15" t="s">
        <v>182</v>
      </c>
      <c r="C99" s="15" t="s">
        <v>186</v>
      </c>
      <c r="D99" s="15"/>
      <c r="E99" s="15" t="s">
        <v>93</v>
      </c>
      <c r="F99" s="16">
        <f>G98+2</f>
        <v>45064</v>
      </c>
      <c r="G99" s="16">
        <f t="shared" si="43"/>
        <v>45064</v>
      </c>
      <c r="H99" s="16"/>
      <c r="I99" s="16"/>
      <c r="K99" s="17" t="e">
        <f t="shared" ca="1" si="0"/>
        <v>#NAME?</v>
      </c>
      <c r="L99" s="18">
        <v>0</v>
      </c>
      <c r="M99" s="19" t="e">
        <f t="shared" ca="1" si="44"/>
        <v>#NAME?</v>
      </c>
      <c r="N99" s="17">
        <f t="shared" si="2"/>
        <v>1</v>
      </c>
    </row>
    <row r="100" spans="1:30" ht="16.5" customHeight="1">
      <c r="A100" s="7" t="s">
        <v>187</v>
      </c>
      <c r="B100" s="26" t="s">
        <v>188</v>
      </c>
      <c r="C100" s="9" t="s">
        <v>189</v>
      </c>
      <c r="D100" s="8"/>
      <c r="E100" s="27" t="s">
        <v>85</v>
      </c>
      <c r="F100" s="11">
        <f t="shared" ref="F100:G100" si="45">F101</f>
        <v>44994</v>
      </c>
      <c r="G100" s="11">
        <f t="shared" si="45"/>
        <v>45071</v>
      </c>
      <c r="H100" s="11"/>
      <c r="I100" s="11"/>
      <c r="J100" s="12"/>
      <c r="K100" s="12" t="e">
        <f t="shared" ca="1" si="0"/>
        <v>#NAME?</v>
      </c>
      <c r="L100" s="13">
        <f t="shared" ref="L100:M100" si="46">L101</f>
        <v>0</v>
      </c>
      <c r="M100" s="13" t="e">
        <f t="shared" ca="1" si="46"/>
        <v>#NAME?</v>
      </c>
      <c r="N100" s="12">
        <f t="shared" si="2"/>
        <v>77</v>
      </c>
    </row>
    <row r="101" spans="1:30" ht="12.75" outlineLevel="1">
      <c r="A101" s="28" t="s">
        <v>190</v>
      </c>
      <c r="B101" s="29" t="s">
        <v>191</v>
      </c>
      <c r="C101" s="30"/>
      <c r="D101" s="29"/>
      <c r="E101" s="29"/>
      <c r="F101" s="31">
        <f>MIN(F102:F114)</f>
        <v>44994</v>
      </c>
      <c r="G101" s="31">
        <f>MAX(G102:G114)</f>
        <v>45071</v>
      </c>
      <c r="H101" s="31"/>
      <c r="I101" s="31"/>
      <c r="J101" s="30"/>
      <c r="K101" s="30" t="e">
        <f t="shared" ca="1" si="0"/>
        <v>#NAME?</v>
      </c>
      <c r="L101" s="32">
        <f t="shared" ref="L101:M101" si="47">AVERAGE(L102:L114)</f>
        <v>0</v>
      </c>
      <c r="M101" s="32" t="e">
        <f t="shared" ca="1" si="47"/>
        <v>#NAME?</v>
      </c>
      <c r="N101" s="30">
        <f t="shared" si="2"/>
        <v>77</v>
      </c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spans="1:30" ht="14.25" outlineLevel="2">
      <c r="A102" s="46" t="s">
        <v>192</v>
      </c>
      <c r="B102" s="15" t="s">
        <v>166</v>
      </c>
      <c r="C102" s="15" t="s">
        <v>193</v>
      </c>
      <c r="D102" s="15"/>
      <c r="E102" s="15" t="s">
        <v>137</v>
      </c>
      <c r="F102" s="16">
        <f>WORKDAY(G72,1)</f>
        <v>44994</v>
      </c>
      <c r="G102" s="16">
        <f>WORKDAY(F102,0)</f>
        <v>44994</v>
      </c>
      <c r="H102" s="16"/>
      <c r="I102" s="16"/>
      <c r="K102" s="17" t="e">
        <f t="shared" ca="1" si="0"/>
        <v>#NAME?</v>
      </c>
      <c r="L102" s="18">
        <v>0</v>
      </c>
      <c r="M102" s="19" t="e">
        <f t="shared" ref="M102:M114" ca="1" si="48">IFS(L102=1,1,F102=TODAY(),0,(AND(F102=G102,F102=TODAY())),(NOW()-TODAY()),(TODAY()-F102)/N102&gt;=1,1,(TODAY()-F102)/N102&lt;0,0,AND((TODAY()-F102)/N102&lt;1,(TODAY()-F102)/N102&gt;0),(TODAY()-F102)/N102)</f>
        <v>#NAME?</v>
      </c>
      <c r="N102" s="17">
        <f t="shared" si="2"/>
        <v>1</v>
      </c>
      <c r="O102" s="17">
        <f t="shared" ref="O102:O104" si="49">NETWORKDAYS.INTL(F102,G102)</f>
        <v>1</v>
      </c>
    </row>
    <row r="103" spans="1:30" ht="14.25" outlineLevel="2">
      <c r="A103" s="46" t="s">
        <v>194</v>
      </c>
      <c r="B103" s="15" t="s">
        <v>166</v>
      </c>
      <c r="C103" s="15" t="s">
        <v>195</v>
      </c>
      <c r="D103" s="15"/>
      <c r="E103" s="15" t="s">
        <v>137</v>
      </c>
      <c r="F103" s="16">
        <f t="shared" ref="F103:F104" si="50">WORKDAY(G102,1)</f>
        <v>44995</v>
      </c>
      <c r="G103" s="16">
        <f>WORKDAY(F103,13)</f>
        <v>45014</v>
      </c>
      <c r="H103" s="16"/>
      <c r="I103" s="16"/>
      <c r="K103" s="17" t="e">
        <f t="shared" ca="1" si="0"/>
        <v>#NAME?</v>
      </c>
      <c r="L103" s="18">
        <v>0</v>
      </c>
      <c r="M103" s="19" t="e">
        <f t="shared" ca="1" si="48"/>
        <v>#NAME?</v>
      </c>
      <c r="N103" s="17">
        <f t="shared" si="2"/>
        <v>19</v>
      </c>
      <c r="O103" s="17">
        <f t="shared" si="49"/>
        <v>14</v>
      </c>
    </row>
    <row r="104" spans="1:30" ht="14.25" outlineLevel="2">
      <c r="A104" s="46" t="s">
        <v>196</v>
      </c>
      <c r="B104" s="15" t="s">
        <v>166</v>
      </c>
      <c r="C104" s="15" t="s">
        <v>197</v>
      </c>
      <c r="D104" s="15"/>
      <c r="E104" s="15" t="s">
        <v>137</v>
      </c>
      <c r="F104" s="16">
        <f t="shared" si="50"/>
        <v>45015</v>
      </c>
      <c r="G104" s="16">
        <f>WORKDAY(F104,0)</f>
        <v>45015</v>
      </c>
      <c r="H104" s="16"/>
      <c r="I104" s="16"/>
      <c r="K104" s="17" t="e">
        <f t="shared" ca="1" si="0"/>
        <v>#NAME?</v>
      </c>
      <c r="L104" s="18">
        <v>0</v>
      </c>
      <c r="M104" s="19" t="e">
        <f t="shared" ca="1" si="48"/>
        <v>#NAME?</v>
      </c>
      <c r="N104" s="17">
        <f t="shared" si="2"/>
        <v>1</v>
      </c>
      <c r="O104" s="17">
        <f t="shared" si="49"/>
        <v>1</v>
      </c>
    </row>
    <row r="105" spans="1:30" ht="14.25" outlineLevel="2">
      <c r="A105" s="46" t="s">
        <v>198</v>
      </c>
      <c r="B105" s="15" t="s">
        <v>166</v>
      </c>
      <c r="C105" s="15" t="s">
        <v>199</v>
      </c>
      <c r="D105" s="15"/>
      <c r="E105" s="15" t="s">
        <v>137</v>
      </c>
      <c r="F105" s="16">
        <f>WORKDAY(G103,1)</f>
        <v>45015</v>
      </c>
      <c r="G105" s="16">
        <f>WORKDAY(F105,2)</f>
        <v>45019</v>
      </c>
      <c r="H105" s="16"/>
      <c r="I105" s="16"/>
      <c r="K105" s="17" t="e">
        <f t="shared" ca="1" si="0"/>
        <v>#NAME?</v>
      </c>
      <c r="L105" s="18">
        <v>0</v>
      </c>
      <c r="M105" s="19" t="e">
        <f t="shared" ca="1" si="48"/>
        <v>#NAME?</v>
      </c>
      <c r="N105" s="17">
        <f t="shared" si="2"/>
        <v>4</v>
      </c>
    </row>
    <row r="106" spans="1:30" ht="14.25" outlineLevel="2">
      <c r="A106" s="46" t="s">
        <v>198</v>
      </c>
      <c r="B106" s="15" t="s">
        <v>200</v>
      </c>
      <c r="C106" s="15" t="s">
        <v>201</v>
      </c>
      <c r="D106" s="15"/>
      <c r="E106" s="15" t="s">
        <v>137</v>
      </c>
      <c r="F106" s="16">
        <f t="shared" ref="F106:F107" si="51">WORKDAY(G105,1)</f>
        <v>45020</v>
      </c>
      <c r="G106" s="16">
        <f>WORKDAY(F106,10)</f>
        <v>45034</v>
      </c>
      <c r="H106" s="16"/>
      <c r="I106" s="16"/>
      <c r="K106" s="17" t="e">
        <f t="shared" ca="1" si="0"/>
        <v>#NAME?</v>
      </c>
      <c r="L106" s="18">
        <v>0</v>
      </c>
      <c r="M106" s="19" t="e">
        <f t="shared" ca="1" si="48"/>
        <v>#NAME?</v>
      </c>
      <c r="N106" s="17">
        <f t="shared" si="2"/>
        <v>14</v>
      </c>
    </row>
    <row r="107" spans="1:30" ht="14.25" outlineLevel="2">
      <c r="A107" s="46" t="s">
        <v>202</v>
      </c>
      <c r="B107" s="15" t="s">
        <v>200</v>
      </c>
      <c r="C107" s="15" t="s">
        <v>203</v>
      </c>
      <c r="D107" s="15"/>
      <c r="E107" s="15" t="s">
        <v>137</v>
      </c>
      <c r="F107" s="16">
        <f t="shared" si="51"/>
        <v>45035</v>
      </c>
      <c r="G107" s="16">
        <f>WORKDAY(F107,0)</f>
        <v>45035</v>
      </c>
      <c r="H107" s="16"/>
      <c r="I107" s="16"/>
      <c r="K107" s="17" t="e">
        <f t="shared" ca="1" si="0"/>
        <v>#NAME?</v>
      </c>
      <c r="L107" s="18">
        <v>0</v>
      </c>
      <c r="M107" s="19" t="e">
        <f t="shared" ca="1" si="48"/>
        <v>#NAME?</v>
      </c>
      <c r="N107" s="17">
        <f t="shared" si="2"/>
        <v>1</v>
      </c>
    </row>
    <row r="108" spans="1:30" ht="12.75" outlineLevel="2">
      <c r="A108" s="14" t="s">
        <v>204</v>
      </c>
      <c r="B108" s="15" t="s">
        <v>175</v>
      </c>
      <c r="C108" s="15" t="s">
        <v>205</v>
      </c>
      <c r="D108" s="15"/>
      <c r="E108" s="15" t="s">
        <v>137</v>
      </c>
      <c r="F108" s="16">
        <f t="shared" ref="F108:G108" si="52">F105</f>
        <v>45015</v>
      </c>
      <c r="G108" s="16">
        <f t="shared" si="52"/>
        <v>45019</v>
      </c>
      <c r="H108" s="16"/>
      <c r="I108" s="16"/>
      <c r="K108" s="17" t="e">
        <f t="shared" ca="1" si="0"/>
        <v>#NAME?</v>
      </c>
      <c r="L108" s="18">
        <v>0</v>
      </c>
      <c r="M108" s="19" t="e">
        <f t="shared" ca="1" si="48"/>
        <v>#NAME?</v>
      </c>
      <c r="N108" s="17">
        <f t="shared" si="2"/>
        <v>4</v>
      </c>
    </row>
    <row r="109" spans="1:30" ht="12.75" outlineLevel="2">
      <c r="A109" s="14" t="s">
        <v>204</v>
      </c>
      <c r="B109" s="15" t="s">
        <v>175</v>
      </c>
      <c r="C109" s="15" t="s">
        <v>199</v>
      </c>
      <c r="D109" s="15"/>
      <c r="E109" s="15" t="s">
        <v>137</v>
      </c>
      <c r="F109" s="16">
        <f t="shared" ref="F109:G109" si="53">F106</f>
        <v>45020</v>
      </c>
      <c r="G109" s="16">
        <f t="shared" si="53"/>
        <v>45034</v>
      </c>
      <c r="H109" s="16"/>
      <c r="I109" s="16"/>
      <c r="K109" s="17" t="e">
        <f t="shared" ca="1" si="0"/>
        <v>#NAME?</v>
      </c>
      <c r="L109" s="18">
        <v>0</v>
      </c>
      <c r="M109" s="19" t="e">
        <f t="shared" ca="1" si="48"/>
        <v>#NAME?</v>
      </c>
      <c r="N109" s="17">
        <f t="shared" si="2"/>
        <v>14</v>
      </c>
    </row>
    <row r="110" spans="1:30" ht="12.75" outlineLevel="2">
      <c r="A110" s="14" t="s">
        <v>204</v>
      </c>
      <c r="B110" s="15" t="s">
        <v>175</v>
      </c>
      <c r="C110" s="15" t="s">
        <v>206</v>
      </c>
      <c r="D110" s="15"/>
      <c r="E110" s="15" t="s">
        <v>137</v>
      </c>
      <c r="F110" s="47">
        <f>WORKDAY(MAX(G105:G109),1)</f>
        <v>45036</v>
      </c>
      <c r="G110" s="16">
        <f>WORKDAY(F110,25)</f>
        <v>45071</v>
      </c>
      <c r="H110" s="16"/>
      <c r="I110" s="16"/>
      <c r="K110" s="17" t="e">
        <f t="shared" ca="1" si="0"/>
        <v>#NAME?</v>
      </c>
      <c r="L110" s="18">
        <v>0</v>
      </c>
      <c r="M110" s="19" t="e">
        <f t="shared" ca="1" si="48"/>
        <v>#NAME?</v>
      </c>
      <c r="N110" s="17">
        <f t="shared" si="2"/>
        <v>35</v>
      </c>
    </row>
    <row r="111" spans="1:30" ht="12.75" outlineLevel="2">
      <c r="A111" s="14" t="s">
        <v>204</v>
      </c>
      <c r="B111" s="15" t="s">
        <v>175</v>
      </c>
      <c r="C111" s="15" t="s">
        <v>207</v>
      </c>
      <c r="D111" s="15"/>
      <c r="E111" s="15" t="s">
        <v>137</v>
      </c>
      <c r="F111" s="16">
        <f t="shared" ref="F111:F112" si="54">F110</f>
        <v>45036</v>
      </c>
      <c r="G111" s="16">
        <f>G112</f>
        <v>45071</v>
      </c>
      <c r="H111" s="16"/>
      <c r="I111" s="16"/>
      <c r="K111" s="17" t="e">
        <f t="shared" ca="1" si="0"/>
        <v>#NAME?</v>
      </c>
      <c r="L111" s="18">
        <v>0</v>
      </c>
      <c r="M111" s="19" t="e">
        <f t="shared" ca="1" si="48"/>
        <v>#NAME?</v>
      </c>
      <c r="N111" s="17">
        <f t="shared" si="2"/>
        <v>35</v>
      </c>
    </row>
    <row r="112" spans="1:30" ht="12.75" outlineLevel="2">
      <c r="A112" s="14" t="s">
        <v>204</v>
      </c>
      <c r="B112" s="15" t="s">
        <v>175</v>
      </c>
      <c r="C112" s="15" t="s">
        <v>208</v>
      </c>
      <c r="D112" s="15"/>
      <c r="E112" s="15" t="s">
        <v>137</v>
      </c>
      <c r="F112" s="16">
        <f t="shared" si="54"/>
        <v>45036</v>
      </c>
      <c r="G112" s="16">
        <f>G110</f>
        <v>45071</v>
      </c>
      <c r="H112" s="16"/>
      <c r="I112" s="16"/>
      <c r="K112" s="17" t="e">
        <f t="shared" ca="1" si="0"/>
        <v>#NAME?</v>
      </c>
      <c r="L112" s="18">
        <v>0</v>
      </c>
      <c r="M112" s="19" t="e">
        <f t="shared" ca="1" si="48"/>
        <v>#NAME?</v>
      </c>
      <c r="N112" s="17">
        <f t="shared" si="2"/>
        <v>35</v>
      </c>
    </row>
    <row r="113" spans="1:30" ht="12.75" outlineLevel="2">
      <c r="A113" s="14" t="s">
        <v>204</v>
      </c>
      <c r="B113" s="15" t="s">
        <v>175</v>
      </c>
      <c r="C113" s="15" t="s">
        <v>205</v>
      </c>
      <c r="D113" s="15"/>
      <c r="E113" s="15" t="s">
        <v>137</v>
      </c>
      <c r="F113" s="16">
        <f t="shared" ref="F113:G113" si="55">F110</f>
        <v>45036</v>
      </c>
      <c r="G113" s="16">
        <f t="shared" si="55"/>
        <v>45071</v>
      </c>
      <c r="H113" s="16"/>
      <c r="I113" s="16"/>
      <c r="K113" s="17" t="e">
        <f t="shared" ca="1" si="0"/>
        <v>#NAME?</v>
      </c>
      <c r="L113" s="18">
        <v>0</v>
      </c>
      <c r="M113" s="19" t="e">
        <f t="shared" ca="1" si="48"/>
        <v>#NAME?</v>
      </c>
      <c r="N113" s="17">
        <f t="shared" si="2"/>
        <v>35</v>
      </c>
    </row>
    <row r="114" spans="1:30" ht="14.25" outlineLevel="2">
      <c r="A114" s="46" t="s">
        <v>209</v>
      </c>
      <c r="B114" s="15" t="s">
        <v>166</v>
      </c>
      <c r="C114" s="15" t="s">
        <v>173</v>
      </c>
      <c r="D114" s="15"/>
      <c r="E114" s="15" t="s">
        <v>137</v>
      </c>
      <c r="F114" s="16">
        <f>F106</f>
        <v>45020</v>
      </c>
      <c r="G114" s="16">
        <f>G113</f>
        <v>45071</v>
      </c>
      <c r="H114" s="16"/>
      <c r="I114" s="16"/>
      <c r="K114" s="17" t="e">
        <f t="shared" ca="1" si="0"/>
        <v>#NAME?</v>
      </c>
      <c r="L114" s="18">
        <v>0</v>
      </c>
      <c r="M114" s="19" t="e">
        <f t="shared" ca="1" si="48"/>
        <v>#NAME?</v>
      </c>
      <c r="N114" s="17">
        <f t="shared" si="2"/>
        <v>51</v>
      </c>
    </row>
    <row r="115" spans="1:30" ht="16.5" customHeight="1">
      <c r="A115" s="7" t="s">
        <v>210</v>
      </c>
      <c r="B115" s="26" t="s">
        <v>378</v>
      </c>
      <c r="C115" s="9" t="s">
        <v>211</v>
      </c>
      <c r="D115" s="8"/>
      <c r="E115" s="27" t="s">
        <v>85</v>
      </c>
      <c r="F115" s="11">
        <f>MIN(F116:F135)</f>
        <v>44998</v>
      </c>
      <c r="G115" s="11">
        <f>MAX(G116:G135)</f>
        <v>45094</v>
      </c>
      <c r="H115" s="11"/>
      <c r="I115" s="11"/>
      <c r="J115" s="12"/>
      <c r="K115" s="12" t="e">
        <f t="shared" ca="1" si="0"/>
        <v>#NAME?</v>
      </c>
      <c r="L115" s="13">
        <f t="shared" ref="L115:M115" si="56">AVERAGE(L116,L122,L129)</f>
        <v>0</v>
      </c>
      <c r="M115" s="13" t="e">
        <f t="shared" ca="1" si="56"/>
        <v>#NAME?</v>
      </c>
      <c r="N115" s="12">
        <f t="shared" si="2"/>
        <v>96</v>
      </c>
    </row>
    <row r="116" spans="1:30" ht="12.75" outlineLevel="1">
      <c r="A116" s="28" t="s">
        <v>212</v>
      </c>
      <c r="B116" s="15" t="s">
        <v>166</v>
      </c>
      <c r="C116" s="29"/>
      <c r="D116" s="29"/>
      <c r="E116" s="29"/>
      <c r="F116" s="31">
        <f>MIN(F117:F121)</f>
        <v>44998</v>
      </c>
      <c r="G116" s="31">
        <f>MAX(G117:G121)</f>
        <v>45034</v>
      </c>
      <c r="H116" s="31"/>
      <c r="I116" s="31"/>
      <c r="J116" s="30"/>
      <c r="K116" s="30" t="e">
        <f t="shared" ca="1" si="0"/>
        <v>#NAME?</v>
      </c>
      <c r="L116" s="45">
        <f t="shared" ref="L116:M116" si="57">AVERAGE(L117:L121)</f>
        <v>0</v>
      </c>
      <c r="M116" s="45" t="e">
        <f t="shared" ca="1" si="57"/>
        <v>#NAME?</v>
      </c>
      <c r="N116" s="30">
        <f t="shared" si="2"/>
        <v>36</v>
      </c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spans="1:30" ht="12.75" outlineLevel="2">
      <c r="A117" s="14" t="s">
        <v>213</v>
      </c>
      <c r="B117" s="15" t="s">
        <v>214</v>
      </c>
      <c r="C117" s="15" t="s">
        <v>215</v>
      </c>
      <c r="D117" s="15"/>
      <c r="E117" s="15" t="s">
        <v>93</v>
      </c>
      <c r="F117" s="16">
        <f>WORKDAY(G80,1)</f>
        <v>44998</v>
      </c>
      <c r="G117" s="16">
        <f>WORKDAY(F117,15)</f>
        <v>45019</v>
      </c>
      <c r="H117" s="16"/>
      <c r="I117" s="16"/>
      <c r="K117" s="17" t="e">
        <f t="shared" ca="1" si="0"/>
        <v>#NAME?</v>
      </c>
      <c r="L117" s="18">
        <v>0</v>
      </c>
      <c r="M117" s="19" t="e">
        <f t="shared" ref="M117:M121" ca="1" si="58">IFS(L117=1,1,F117=TODAY(),0,(AND(F117=G117,F117=TODAY())),(NOW()-TODAY()),(TODAY()-F117)/N117&gt;=1,1,(TODAY()-F117)/N117&lt;0,0,AND((TODAY()-F117)/N117&lt;1,(TODAY()-F117)/N117&gt;0),(TODAY()-F117)/N117)</f>
        <v>#NAME?</v>
      </c>
      <c r="N117" s="17">
        <f t="shared" si="2"/>
        <v>21</v>
      </c>
    </row>
    <row r="118" spans="1:30" ht="12.75" outlineLevel="2">
      <c r="A118" s="14" t="s">
        <v>213</v>
      </c>
      <c r="B118" s="15" t="s">
        <v>214</v>
      </c>
      <c r="C118" s="15" t="s">
        <v>216</v>
      </c>
      <c r="D118" s="15"/>
      <c r="E118" s="15" t="s">
        <v>93</v>
      </c>
      <c r="F118" s="16">
        <f>WORKDAY(G117,-10)</f>
        <v>45005</v>
      </c>
      <c r="G118" s="16">
        <f>WORKDAY(F118,5)</f>
        <v>45012</v>
      </c>
      <c r="H118" s="16"/>
      <c r="I118" s="16"/>
      <c r="K118" s="17" t="e">
        <f t="shared" ca="1" si="0"/>
        <v>#NAME?</v>
      </c>
      <c r="L118" s="18">
        <v>0</v>
      </c>
      <c r="M118" s="19" t="e">
        <f t="shared" ca="1" si="58"/>
        <v>#NAME?</v>
      </c>
      <c r="N118" s="17">
        <f t="shared" si="2"/>
        <v>7</v>
      </c>
    </row>
    <row r="119" spans="1:30" ht="12.75" outlineLevel="2">
      <c r="A119" s="14" t="s">
        <v>217</v>
      </c>
      <c r="B119" s="15" t="s">
        <v>214</v>
      </c>
      <c r="C119" s="15" t="s">
        <v>200</v>
      </c>
      <c r="D119" s="15"/>
      <c r="E119" s="15" t="s">
        <v>93</v>
      </c>
      <c r="F119" s="16">
        <f>WORKDAY(G117,1)</f>
        <v>45020</v>
      </c>
      <c r="G119" s="16">
        <f>WORKDAY(F119,8)</f>
        <v>45030</v>
      </c>
      <c r="H119" s="16"/>
      <c r="I119" s="16"/>
      <c r="K119" s="17" t="e">
        <f t="shared" ca="1" si="0"/>
        <v>#NAME?</v>
      </c>
      <c r="L119" s="18">
        <v>0</v>
      </c>
      <c r="M119" s="19" t="e">
        <f t="shared" ca="1" si="58"/>
        <v>#NAME?</v>
      </c>
      <c r="N119" s="17">
        <f t="shared" si="2"/>
        <v>10</v>
      </c>
    </row>
    <row r="120" spans="1:30" ht="12.75" outlineLevel="2">
      <c r="A120" s="14" t="s">
        <v>217</v>
      </c>
      <c r="B120" s="15" t="s">
        <v>214</v>
      </c>
      <c r="C120" s="15" t="s">
        <v>218</v>
      </c>
      <c r="D120" s="15"/>
      <c r="E120" s="15" t="s">
        <v>93</v>
      </c>
      <c r="F120" s="16">
        <f>WORKDAY(G119,1)</f>
        <v>45033</v>
      </c>
      <c r="G120" s="16">
        <f>WORKDAY(F120,1)</f>
        <v>45034</v>
      </c>
      <c r="H120" s="16"/>
      <c r="I120" s="16"/>
      <c r="K120" s="17" t="e">
        <f t="shared" ca="1" si="0"/>
        <v>#NAME?</v>
      </c>
      <c r="L120" s="18">
        <v>0</v>
      </c>
      <c r="M120" s="19" t="e">
        <f t="shared" ca="1" si="58"/>
        <v>#NAME?</v>
      </c>
      <c r="N120" s="17">
        <f t="shared" si="2"/>
        <v>1</v>
      </c>
    </row>
    <row r="121" spans="1:30" ht="12.75" outlineLevel="2">
      <c r="A121" s="14" t="s">
        <v>219</v>
      </c>
      <c r="B121" s="15" t="s">
        <v>214</v>
      </c>
      <c r="C121" s="15" t="s">
        <v>173</v>
      </c>
      <c r="D121" s="15"/>
      <c r="E121" s="15" t="s">
        <v>93</v>
      </c>
      <c r="F121" s="16">
        <f>F119</f>
        <v>45020</v>
      </c>
      <c r="G121" s="16">
        <f>G120</f>
        <v>45034</v>
      </c>
      <c r="H121" s="16"/>
      <c r="I121" s="16"/>
      <c r="K121" s="17" t="e">
        <f t="shared" ca="1" si="0"/>
        <v>#NAME?</v>
      </c>
      <c r="L121" s="18">
        <v>0</v>
      </c>
      <c r="M121" s="19" t="e">
        <f t="shared" ca="1" si="58"/>
        <v>#NAME?</v>
      </c>
      <c r="N121" s="17">
        <f t="shared" si="2"/>
        <v>14</v>
      </c>
    </row>
    <row r="122" spans="1:30" ht="12.75" outlineLevel="1">
      <c r="A122" s="28" t="s">
        <v>220</v>
      </c>
      <c r="B122" s="15" t="s">
        <v>175</v>
      </c>
      <c r="C122" s="29"/>
      <c r="D122" s="29"/>
      <c r="E122" s="29"/>
      <c r="F122" s="31">
        <f>MIN(F123:F128)</f>
        <v>45035</v>
      </c>
      <c r="G122" s="31">
        <f>MAX(G123:G128)</f>
        <v>45085</v>
      </c>
      <c r="H122" s="31"/>
      <c r="I122" s="31"/>
      <c r="J122" s="30"/>
      <c r="K122" s="30" t="e">
        <f t="shared" ca="1" si="0"/>
        <v>#NAME?</v>
      </c>
      <c r="L122" s="45">
        <f t="shared" ref="L122:M122" si="59">AVERAGE(L123:L128)</f>
        <v>0</v>
      </c>
      <c r="M122" s="45" t="e">
        <f t="shared" ca="1" si="59"/>
        <v>#NAME?</v>
      </c>
      <c r="N122" s="30">
        <f t="shared" si="2"/>
        <v>50</v>
      </c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 ht="12.75" outlineLevel="2">
      <c r="A123" s="14" t="s">
        <v>221</v>
      </c>
      <c r="B123" s="15" t="s">
        <v>214</v>
      </c>
      <c r="C123" s="15" t="s">
        <v>222</v>
      </c>
      <c r="D123" s="15"/>
      <c r="E123" s="15" t="s">
        <v>93</v>
      </c>
      <c r="F123" s="16">
        <f>WORKDAY(G116,1)</f>
        <v>45035</v>
      </c>
      <c r="G123" s="16">
        <f>WORKDAY(F123,3)</f>
        <v>45040</v>
      </c>
      <c r="H123" s="16"/>
      <c r="I123" s="16"/>
      <c r="K123" s="17" t="e">
        <f t="shared" ca="1" si="0"/>
        <v>#NAME?</v>
      </c>
      <c r="L123" s="18">
        <v>0</v>
      </c>
      <c r="M123" s="19" t="e">
        <f t="shared" ref="M123:M128" ca="1" si="60">IFS(L123=1,1,F123=TODAY(),0,(AND(F123=G123,F123=TODAY())),(NOW()-TODAY()),(TODAY()-F123)/N123&gt;=1,1,(TODAY()-F123)/N123&lt;0,0,AND((TODAY()-F123)/N123&lt;1,(TODAY()-F123)/N123&gt;0),(TODAY()-F123)/N123)</f>
        <v>#NAME?</v>
      </c>
      <c r="N123" s="17">
        <f t="shared" si="2"/>
        <v>5</v>
      </c>
    </row>
    <row r="124" spans="1:30" ht="12.75" outlineLevel="2">
      <c r="A124" s="14" t="s">
        <v>221</v>
      </c>
      <c r="B124" s="15" t="s">
        <v>214</v>
      </c>
      <c r="C124" s="15" t="s">
        <v>223</v>
      </c>
      <c r="D124" s="15"/>
      <c r="E124" s="15" t="s">
        <v>93</v>
      </c>
      <c r="F124" s="16">
        <f>WORKDAY(G116,1)</f>
        <v>45035</v>
      </c>
      <c r="G124" s="16">
        <f t="shared" ref="G124:G125" si="61">WORKDAY(F124,4)</f>
        <v>45041</v>
      </c>
      <c r="H124" s="16"/>
      <c r="I124" s="16"/>
      <c r="K124" s="17" t="e">
        <f t="shared" ca="1" si="0"/>
        <v>#NAME?</v>
      </c>
      <c r="L124" s="18">
        <v>0</v>
      </c>
      <c r="M124" s="19" t="e">
        <f t="shared" ca="1" si="60"/>
        <v>#NAME?</v>
      </c>
      <c r="N124" s="17">
        <f t="shared" si="2"/>
        <v>6</v>
      </c>
    </row>
    <row r="125" spans="1:30" ht="12.75" outlineLevel="2">
      <c r="A125" s="14" t="s">
        <v>221</v>
      </c>
      <c r="B125" s="15" t="s">
        <v>214</v>
      </c>
      <c r="C125" s="15" t="s">
        <v>224</v>
      </c>
      <c r="D125" s="15"/>
      <c r="E125" s="15" t="s">
        <v>93</v>
      </c>
      <c r="F125" s="16">
        <f>WORKDAY(G116,1)</f>
        <v>45035</v>
      </c>
      <c r="G125" s="16">
        <f t="shared" si="61"/>
        <v>45041</v>
      </c>
      <c r="H125" s="16"/>
      <c r="I125" s="16"/>
      <c r="K125" s="17" t="e">
        <f t="shared" ca="1" si="0"/>
        <v>#NAME?</v>
      </c>
      <c r="L125" s="18">
        <v>0</v>
      </c>
      <c r="M125" s="19" t="e">
        <f t="shared" ca="1" si="60"/>
        <v>#NAME?</v>
      </c>
      <c r="N125" s="17">
        <f t="shared" si="2"/>
        <v>6</v>
      </c>
    </row>
    <row r="126" spans="1:30" ht="12.75" outlineLevel="2">
      <c r="A126" s="14" t="s">
        <v>225</v>
      </c>
      <c r="B126" s="15" t="s">
        <v>226</v>
      </c>
      <c r="C126" s="15" t="s">
        <v>227</v>
      </c>
      <c r="D126" s="15"/>
      <c r="E126" s="15" t="s">
        <v>228</v>
      </c>
      <c r="F126" s="16">
        <f>F110</f>
        <v>45036</v>
      </c>
      <c r="G126" s="16">
        <f>WORKDAY(F126,25)</f>
        <v>45071</v>
      </c>
      <c r="H126" s="16"/>
      <c r="I126" s="16"/>
      <c r="K126" s="17" t="e">
        <f t="shared" ca="1" si="0"/>
        <v>#NAME?</v>
      </c>
      <c r="L126" s="18">
        <v>0</v>
      </c>
      <c r="M126" s="19" t="e">
        <f t="shared" ca="1" si="60"/>
        <v>#NAME?</v>
      </c>
      <c r="N126" s="17">
        <f t="shared" si="2"/>
        <v>35</v>
      </c>
    </row>
    <row r="127" spans="1:30" ht="12.75" outlineLevel="2">
      <c r="A127" s="14" t="s">
        <v>229</v>
      </c>
      <c r="B127" s="15" t="s">
        <v>230</v>
      </c>
      <c r="C127" s="15" t="s">
        <v>180</v>
      </c>
      <c r="D127" s="15"/>
      <c r="E127" s="15" t="s">
        <v>228</v>
      </c>
      <c r="F127" s="16">
        <f>WORKDAY(G126,-5)</f>
        <v>45064</v>
      </c>
      <c r="G127" s="16">
        <f t="shared" ref="G127:G128" si="62">WORKDAY(G126,5)</f>
        <v>45078</v>
      </c>
      <c r="H127" s="16"/>
      <c r="I127" s="16"/>
      <c r="K127" s="17" t="e">
        <f t="shared" ca="1" si="0"/>
        <v>#NAME?</v>
      </c>
      <c r="L127" s="18">
        <v>0</v>
      </c>
      <c r="M127" s="19" t="e">
        <f t="shared" ca="1" si="60"/>
        <v>#NAME?</v>
      </c>
      <c r="N127" s="17">
        <f t="shared" si="2"/>
        <v>14</v>
      </c>
    </row>
    <row r="128" spans="1:30" ht="12.75" outlineLevel="2">
      <c r="A128" s="14" t="s">
        <v>231</v>
      </c>
      <c r="B128" s="15" t="s">
        <v>230</v>
      </c>
      <c r="C128" s="15" t="s">
        <v>232</v>
      </c>
      <c r="D128" s="15"/>
      <c r="E128" s="15" t="s">
        <v>228</v>
      </c>
      <c r="F128" s="16">
        <f>WORKDAY(G127,1)</f>
        <v>45079</v>
      </c>
      <c r="G128" s="16">
        <f t="shared" si="62"/>
        <v>45085</v>
      </c>
      <c r="H128" s="16"/>
      <c r="I128" s="16"/>
      <c r="K128" s="17" t="e">
        <f t="shared" ca="1" si="0"/>
        <v>#NAME?</v>
      </c>
      <c r="L128" s="18">
        <v>0</v>
      </c>
      <c r="M128" s="19" t="e">
        <f t="shared" ca="1" si="60"/>
        <v>#NAME?</v>
      </c>
      <c r="N128" s="17">
        <f t="shared" si="2"/>
        <v>6</v>
      </c>
    </row>
    <row r="129" spans="1:30" ht="12.75" outlineLevel="1">
      <c r="A129" s="28" t="s">
        <v>233</v>
      </c>
      <c r="B129" s="15" t="s">
        <v>182</v>
      </c>
      <c r="C129" s="30"/>
      <c r="D129" s="29"/>
      <c r="E129" s="29"/>
      <c r="F129" s="31">
        <f>MIN(F130:F135)</f>
        <v>45082</v>
      </c>
      <c r="G129" s="31">
        <f>MAX(G130:G135)</f>
        <v>45094</v>
      </c>
      <c r="H129" s="31"/>
      <c r="I129" s="31"/>
      <c r="J129" s="30"/>
      <c r="K129" s="30" t="e">
        <f t="shared" ca="1" si="0"/>
        <v>#NAME?</v>
      </c>
      <c r="L129" s="45">
        <f t="shared" ref="L129:M129" si="63">AVERAGE(L130:L135)</f>
        <v>0</v>
      </c>
      <c r="M129" s="45" t="e">
        <f t="shared" ca="1" si="63"/>
        <v>#NAME?</v>
      </c>
      <c r="N129" s="30">
        <f t="shared" si="2"/>
        <v>12</v>
      </c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 ht="12.75" outlineLevel="2">
      <c r="A130" s="14" t="s">
        <v>234</v>
      </c>
      <c r="B130" s="15" t="s">
        <v>182</v>
      </c>
      <c r="C130" s="15" t="s">
        <v>184</v>
      </c>
      <c r="D130" s="15"/>
      <c r="E130" s="15" t="s">
        <v>93</v>
      </c>
      <c r="F130" s="16">
        <f>WORKDAY(G128,4)</f>
        <v>45091</v>
      </c>
      <c r="G130" s="16">
        <f>F130</f>
        <v>45091</v>
      </c>
      <c r="H130" s="16"/>
      <c r="I130" s="16"/>
      <c r="K130" s="17" t="e">
        <f t="shared" ca="1" si="0"/>
        <v>#NAME?</v>
      </c>
      <c r="L130" s="18">
        <v>0</v>
      </c>
      <c r="M130" s="19" t="e">
        <f t="shared" ref="M130:M135" ca="1" si="64">IFS(L130=1,1,F130=TODAY(),0,(AND(F130=G130,F130=TODAY())),(NOW()-TODAY()),(TODAY()-F130)/N130&gt;=1,1,(TODAY()-F130)/N130&lt;0,0,AND((TODAY()-F130)/N130&lt;1,(TODAY()-F130)/N130&gt;0),(TODAY()-F130)/N130)</f>
        <v>#NAME?</v>
      </c>
      <c r="N130" s="17">
        <f t="shared" si="2"/>
        <v>1</v>
      </c>
    </row>
    <row r="131" spans="1:30" ht="12.75" outlineLevel="2">
      <c r="A131" s="14" t="s">
        <v>234</v>
      </c>
      <c r="B131" s="15" t="s">
        <v>182</v>
      </c>
      <c r="C131" s="15" t="s">
        <v>223</v>
      </c>
      <c r="D131" s="15"/>
      <c r="E131" s="15" t="s">
        <v>93</v>
      </c>
      <c r="F131" s="16">
        <f>WORKDAY(G130,-7)</f>
        <v>45082</v>
      </c>
      <c r="G131" s="16">
        <f>WORKDAY(F131,8)</f>
        <v>45092</v>
      </c>
      <c r="H131" s="16"/>
      <c r="I131" s="16"/>
      <c r="K131" s="17" t="e">
        <f t="shared" ca="1" si="0"/>
        <v>#NAME?</v>
      </c>
      <c r="L131" s="18">
        <v>0</v>
      </c>
      <c r="M131" s="19" t="e">
        <f t="shared" ca="1" si="64"/>
        <v>#NAME?</v>
      </c>
      <c r="N131" s="17">
        <f t="shared" si="2"/>
        <v>10</v>
      </c>
    </row>
    <row r="132" spans="1:30" ht="12.75" outlineLevel="2">
      <c r="A132" s="14" t="s">
        <v>234</v>
      </c>
      <c r="B132" s="15" t="s">
        <v>182</v>
      </c>
      <c r="C132" s="15" t="s">
        <v>235</v>
      </c>
      <c r="D132" s="15"/>
      <c r="E132" s="15" t="s">
        <v>93</v>
      </c>
      <c r="F132" s="16">
        <f>G130+3</f>
        <v>45094</v>
      </c>
      <c r="G132" s="16">
        <f>F132</f>
        <v>45094</v>
      </c>
      <c r="H132" s="16"/>
      <c r="I132" s="16"/>
      <c r="K132" s="17" t="e">
        <f t="shared" ca="1" si="0"/>
        <v>#NAME?</v>
      </c>
      <c r="L132" s="18">
        <v>0</v>
      </c>
      <c r="M132" s="19" t="e">
        <f t="shared" ca="1" si="64"/>
        <v>#NAME?</v>
      </c>
      <c r="N132" s="17">
        <f t="shared" si="2"/>
        <v>1</v>
      </c>
    </row>
    <row r="133" spans="1:30" ht="12.75" outlineLevel="2">
      <c r="A133" s="14" t="s">
        <v>234</v>
      </c>
      <c r="B133" s="15" t="s">
        <v>182</v>
      </c>
      <c r="C133" s="15" t="s">
        <v>236</v>
      </c>
      <c r="D133" s="15"/>
      <c r="E133" s="15" t="s">
        <v>137</v>
      </c>
      <c r="F133" s="16">
        <f t="shared" ref="F133:G133" si="65">F131</f>
        <v>45082</v>
      </c>
      <c r="G133" s="16">
        <f t="shared" si="65"/>
        <v>45092</v>
      </c>
      <c r="H133" s="16"/>
      <c r="I133" s="16"/>
      <c r="K133" s="17" t="e">
        <f t="shared" ca="1" si="0"/>
        <v>#NAME?</v>
      </c>
      <c r="L133" s="18">
        <v>0</v>
      </c>
      <c r="M133" s="19" t="e">
        <f t="shared" ca="1" si="64"/>
        <v>#NAME?</v>
      </c>
      <c r="N133" s="17">
        <f t="shared" si="2"/>
        <v>10</v>
      </c>
    </row>
    <row r="134" spans="1:30" ht="12.75" outlineLevel="2">
      <c r="A134" s="14" t="s">
        <v>237</v>
      </c>
      <c r="B134" s="15" t="s">
        <v>182</v>
      </c>
      <c r="C134" s="15" t="s">
        <v>238</v>
      </c>
      <c r="D134" s="15"/>
      <c r="E134" s="15" t="s">
        <v>137</v>
      </c>
      <c r="F134" s="16">
        <f t="shared" ref="F134:G134" si="66">F131</f>
        <v>45082</v>
      </c>
      <c r="G134" s="16">
        <f t="shared" si="66"/>
        <v>45092</v>
      </c>
      <c r="H134" s="16"/>
      <c r="I134" s="16"/>
      <c r="K134" s="17" t="e">
        <f t="shared" ca="1" si="0"/>
        <v>#NAME?</v>
      </c>
      <c r="L134" s="18">
        <v>0</v>
      </c>
      <c r="M134" s="19" t="e">
        <f t="shared" ca="1" si="64"/>
        <v>#NAME?</v>
      </c>
      <c r="N134" s="17">
        <f t="shared" si="2"/>
        <v>10</v>
      </c>
    </row>
    <row r="135" spans="1:30" ht="12.75" outlineLevel="2">
      <c r="A135" s="14" t="s">
        <v>239</v>
      </c>
      <c r="B135" s="15" t="s">
        <v>182</v>
      </c>
      <c r="C135" s="15" t="s">
        <v>186</v>
      </c>
      <c r="D135" s="15" t="s">
        <v>125</v>
      </c>
      <c r="E135" s="15" t="s">
        <v>240</v>
      </c>
      <c r="F135" s="16">
        <f t="shared" ref="F135:G135" si="67">F132</f>
        <v>45094</v>
      </c>
      <c r="G135" s="16">
        <f t="shared" si="67"/>
        <v>45094</v>
      </c>
      <c r="H135" s="16"/>
      <c r="I135" s="16"/>
      <c r="K135" s="17" t="e">
        <f t="shared" ca="1" si="0"/>
        <v>#NAME?</v>
      </c>
      <c r="L135" s="18">
        <v>0</v>
      </c>
      <c r="M135" s="19" t="e">
        <f t="shared" ca="1" si="64"/>
        <v>#NAME?</v>
      </c>
      <c r="N135" s="17">
        <f t="shared" si="2"/>
        <v>1</v>
      </c>
    </row>
    <row r="136" spans="1:30" ht="12.75" hidden="1" outlineLevel="1" collapsed="1">
      <c r="A136" s="28" t="s">
        <v>304</v>
      </c>
      <c r="B136" s="29" t="s">
        <v>253</v>
      </c>
      <c r="C136" s="30"/>
      <c r="D136" s="29"/>
      <c r="E136" s="29"/>
      <c r="F136" s="31" t="e">
        <f>MIN(F137:F141)</f>
        <v>#REF!</v>
      </c>
      <c r="G136" s="31" t="e">
        <f>MAX(G137:G141)</f>
        <v>#REF!</v>
      </c>
      <c r="H136" s="31"/>
      <c r="I136" s="31"/>
      <c r="J136" s="30"/>
      <c r="K136" s="30" t="e">
        <f t="shared" ref="K136:K189" ca="1" si="68">IFS(L136=100%,"Finalizada",AND(L136=0,M136=0),"Sin Iniciar",L136&gt;=M136,"A Tiempo",AND((L136&lt;M136),(TODAY()&gt;G136)),"Impactada",AND((L136&lt;M136),(TODAY()&lt;=G136)),"Atrasada")</f>
        <v>#NAME?</v>
      </c>
      <c r="L136" s="32">
        <f t="shared" ref="L136:M136" si="69">AVERAGE(L137:L141)</f>
        <v>0</v>
      </c>
      <c r="M136" s="32" t="e">
        <f t="shared" ca="1" si="69"/>
        <v>#NAME?</v>
      </c>
      <c r="N136" s="30" t="e">
        <f t="shared" ref="N136:N189" si="70">IF(G136-F136&gt;0,G136-F136,G136-F136+1)</f>
        <v>#REF!</v>
      </c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 ht="12.75" hidden="1" outlineLevel="2">
      <c r="A137" s="14" t="s">
        <v>305</v>
      </c>
      <c r="B137" s="15" t="s">
        <v>254</v>
      </c>
      <c r="C137" s="15" t="s">
        <v>255</v>
      </c>
      <c r="D137" s="15" t="s">
        <v>17</v>
      </c>
      <c r="E137" s="15" t="s">
        <v>15</v>
      </c>
      <c r="F137" s="16" t="e">
        <f>WORKDAY(#REF!,8)</f>
        <v>#REF!</v>
      </c>
      <c r="G137" s="16" t="e">
        <f>WORKDAY(F137,10)</f>
        <v>#REF!</v>
      </c>
      <c r="H137" s="16"/>
      <c r="I137" s="16"/>
      <c r="K137" s="17" t="e">
        <f t="shared" ca="1" si="68"/>
        <v>#NAME?</v>
      </c>
      <c r="L137" s="18">
        <v>0</v>
      </c>
      <c r="M137" s="19" t="e">
        <f t="shared" ref="M137:M141" ca="1" si="71">IFS(L137=1,1,F137=TODAY(),0,(AND(F137=G137,F137=TODAY())),(NOW()-TODAY()),(TODAY()-F137)/N137&gt;=1,1,(TODAY()-F137)/N137&lt;0,0,AND((TODAY()-F137)/N137&lt;1,(TODAY()-F137)/N137&gt;0),(TODAY()-F137)/N137)</f>
        <v>#NAME?</v>
      </c>
      <c r="N137" s="17" t="e">
        <f t="shared" si="70"/>
        <v>#REF!</v>
      </c>
    </row>
    <row r="138" spans="1:30" ht="12.75" hidden="1" outlineLevel="2">
      <c r="A138" s="14" t="s">
        <v>306</v>
      </c>
      <c r="B138" s="15" t="s">
        <v>254</v>
      </c>
      <c r="C138" s="15" t="s">
        <v>256</v>
      </c>
      <c r="D138" s="15" t="s">
        <v>44</v>
      </c>
      <c r="E138" s="15" t="s">
        <v>15</v>
      </c>
      <c r="F138" s="16" t="e">
        <f>WORKDAY(G137,-5)</f>
        <v>#REF!</v>
      </c>
      <c r="G138" s="16" t="e">
        <f>WORKDAY(G137,5)</f>
        <v>#REF!</v>
      </c>
      <c r="H138" s="16"/>
      <c r="I138" s="16"/>
      <c r="K138" s="17" t="e">
        <f t="shared" ca="1" si="68"/>
        <v>#NAME?</v>
      </c>
      <c r="L138" s="18">
        <v>0</v>
      </c>
      <c r="M138" s="19" t="e">
        <f t="shared" ca="1" si="71"/>
        <v>#NAME?</v>
      </c>
      <c r="N138" s="17" t="e">
        <f t="shared" si="70"/>
        <v>#REF!</v>
      </c>
    </row>
    <row r="139" spans="1:30" ht="12.75" hidden="1" outlineLevel="2">
      <c r="A139" s="14" t="s">
        <v>307</v>
      </c>
      <c r="B139" s="15" t="s">
        <v>254</v>
      </c>
      <c r="C139" s="15" t="s">
        <v>257</v>
      </c>
      <c r="D139" s="15" t="s">
        <v>17</v>
      </c>
      <c r="E139" s="15" t="s">
        <v>15</v>
      </c>
      <c r="F139" s="16" t="e">
        <f>WORKDAY(G137,2)</f>
        <v>#REF!</v>
      </c>
      <c r="G139" s="16" t="e">
        <f>WORKDAY(F139,10)</f>
        <v>#REF!</v>
      </c>
      <c r="H139" s="16"/>
      <c r="I139" s="16"/>
      <c r="K139" s="17" t="e">
        <f t="shared" ca="1" si="68"/>
        <v>#NAME?</v>
      </c>
      <c r="L139" s="18">
        <v>0</v>
      </c>
      <c r="M139" s="19" t="e">
        <f t="shared" ca="1" si="71"/>
        <v>#NAME?</v>
      </c>
      <c r="N139" s="17" t="e">
        <f t="shared" si="70"/>
        <v>#REF!</v>
      </c>
    </row>
    <row r="140" spans="1:30" ht="12.75" hidden="1" outlineLevel="2">
      <c r="A140" s="14" t="s">
        <v>308</v>
      </c>
      <c r="B140" s="15" t="s">
        <v>254</v>
      </c>
      <c r="C140" s="15" t="s">
        <v>258</v>
      </c>
      <c r="D140" s="15" t="s">
        <v>44</v>
      </c>
      <c r="E140" s="15" t="s">
        <v>15</v>
      </c>
      <c r="F140" s="16" t="e">
        <f>WORKDAY(G139,-5)</f>
        <v>#REF!</v>
      </c>
      <c r="G140" s="16" t="e">
        <f>WORKDAY(G139,5)</f>
        <v>#REF!</v>
      </c>
      <c r="H140" s="16"/>
      <c r="I140" s="16"/>
      <c r="K140" s="17" t="e">
        <f t="shared" ca="1" si="68"/>
        <v>#NAME?</v>
      </c>
      <c r="L140" s="18">
        <v>0</v>
      </c>
      <c r="M140" s="19" t="e">
        <f t="shared" ca="1" si="71"/>
        <v>#NAME?</v>
      </c>
      <c r="N140" s="17" t="e">
        <f t="shared" si="70"/>
        <v>#REF!</v>
      </c>
    </row>
    <row r="141" spans="1:30" ht="12.75" hidden="1" outlineLevel="2">
      <c r="A141" s="14" t="s">
        <v>309</v>
      </c>
      <c r="B141" s="15" t="s">
        <v>254</v>
      </c>
      <c r="C141" s="15" t="s">
        <v>259</v>
      </c>
      <c r="D141" s="15" t="s">
        <v>17</v>
      </c>
      <c r="E141" s="15" t="s">
        <v>15</v>
      </c>
      <c r="F141" s="16" t="e">
        <f>WORKDAY(G140,1)</f>
        <v>#REF!</v>
      </c>
      <c r="G141" s="16" t="e">
        <f>WORKDAY(F141,2)</f>
        <v>#REF!</v>
      </c>
      <c r="H141" s="16"/>
      <c r="I141" s="16"/>
      <c r="K141" s="17" t="e">
        <f t="shared" ca="1" si="68"/>
        <v>#NAME?</v>
      </c>
      <c r="L141" s="18">
        <v>0</v>
      </c>
      <c r="M141" s="19" t="e">
        <f t="shared" ca="1" si="71"/>
        <v>#NAME?</v>
      </c>
      <c r="N141" s="17" t="e">
        <f t="shared" si="70"/>
        <v>#REF!</v>
      </c>
    </row>
    <row r="142" spans="1:30" ht="12.75" hidden="1" outlineLevel="1" collapsed="1">
      <c r="A142" s="28" t="s">
        <v>310</v>
      </c>
      <c r="B142" s="29" t="s">
        <v>175</v>
      </c>
      <c r="C142" s="30"/>
      <c r="D142" s="29"/>
      <c r="E142" s="29"/>
      <c r="F142" s="31" t="e">
        <f>MIN(F143:F159)</f>
        <v>#REF!</v>
      </c>
      <c r="G142" s="31" t="e">
        <f>MAX(G143:G159)</f>
        <v>#REF!</v>
      </c>
      <c r="H142" s="31"/>
      <c r="I142" s="31"/>
      <c r="J142" s="29"/>
      <c r="K142" s="30" t="e">
        <f t="shared" ca="1" si="68"/>
        <v>#NAME?</v>
      </c>
      <c r="L142" s="32">
        <f t="shared" ref="L142:M142" si="72">AVERAGE(L143:L159)</f>
        <v>0</v>
      </c>
      <c r="M142" s="32" t="e">
        <f t="shared" ca="1" si="72"/>
        <v>#NAME?</v>
      </c>
      <c r="N142" s="30" t="e">
        <f t="shared" si="70"/>
        <v>#REF!</v>
      </c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spans="1:30" ht="12.75" hidden="1" outlineLevel="2">
      <c r="A143" s="14" t="s">
        <v>311</v>
      </c>
      <c r="B143" s="15" t="s">
        <v>260</v>
      </c>
      <c r="C143" s="48" t="s">
        <v>252</v>
      </c>
      <c r="D143" s="15" t="s">
        <v>241</v>
      </c>
      <c r="E143" s="15" t="s">
        <v>137</v>
      </c>
      <c r="F143" s="16" t="e">
        <f>WORKDAY(G136,1)</f>
        <v>#REF!</v>
      </c>
      <c r="G143" s="16" t="e">
        <f t="shared" ref="G143:G146" si="73">WORKDAY(F143,3)</f>
        <v>#REF!</v>
      </c>
      <c r="H143" s="16"/>
      <c r="I143" s="16"/>
      <c r="K143" s="17" t="e">
        <f t="shared" ca="1" si="68"/>
        <v>#NAME?</v>
      </c>
      <c r="L143" s="18">
        <v>0</v>
      </c>
      <c r="M143" s="19" t="e">
        <f t="shared" ref="M143:M159" ca="1" si="74">IFS(L143=1,1,F143=TODAY(),0,(AND(F143=G143,F143=TODAY())),(NOW()-TODAY()),(TODAY()-F143)/N143&gt;=1,1,(TODAY()-F143)/N143&lt;0,0,AND((TODAY()-F143)/N143&lt;1,(TODAY()-F143)/N143&gt;0),(TODAY()-F143)/N143)</f>
        <v>#NAME?</v>
      </c>
      <c r="N143" s="17" t="e">
        <f t="shared" si="70"/>
        <v>#REF!</v>
      </c>
    </row>
    <row r="144" spans="1:30" ht="12.75" hidden="1" outlineLevel="2">
      <c r="A144" s="14" t="s">
        <v>312</v>
      </c>
      <c r="B144" s="15" t="s">
        <v>260</v>
      </c>
      <c r="C144" s="48" t="s">
        <v>245</v>
      </c>
      <c r="D144" s="15" t="s">
        <v>261</v>
      </c>
      <c r="E144" s="15" t="s">
        <v>242</v>
      </c>
      <c r="F144" s="16" t="e">
        <f>F143</f>
        <v>#REF!</v>
      </c>
      <c r="G144" s="16" t="e">
        <f t="shared" si="73"/>
        <v>#REF!</v>
      </c>
      <c r="H144" s="16"/>
      <c r="I144" s="16"/>
      <c r="K144" s="17" t="e">
        <f t="shared" ca="1" si="68"/>
        <v>#NAME?</v>
      </c>
      <c r="L144" s="18">
        <v>0</v>
      </c>
      <c r="M144" s="19" t="e">
        <f t="shared" ca="1" si="74"/>
        <v>#NAME?</v>
      </c>
      <c r="N144" s="17" t="e">
        <f t="shared" si="70"/>
        <v>#REF!</v>
      </c>
    </row>
    <row r="145" spans="1:30" ht="12.75" hidden="1" outlineLevel="2">
      <c r="A145" s="14" t="s">
        <v>313</v>
      </c>
      <c r="B145" s="15" t="s">
        <v>260</v>
      </c>
      <c r="C145" s="48" t="s">
        <v>246</v>
      </c>
      <c r="D145" s="15" t="s">
        <v>261</v>
      </c>
      <c r="E145" s="15" t="s">
        <v>242</v>
      </c>
      <c r="F145" s="16" t="e">
        <f>F143</f>
        <v>#REF!</v>
      </c>
      <c r="G145" s="16" t="e">
        <f t="shared" si="73"/>
        <v>#REF!</v>
      </c>
      <c r="H145" s="16"/>
      <c r="I145" s="16"/>
      <c r="K145" s="17" t="e">
        <f t="shared" ca="1" si="68"/>
        <v>#NAME?</v>
      </c>
      <c r="L145" s="18">
        <v>0</v>
      </c>
      <c r="M145" s="19" t="e">
        <f t="shared" ca="1" si="74"/>
        <v>#NAME?</v>
      </c>
      <c r="N145" s="17" t="e">
        <f t="shared" si="70"/>
        <v>#REF!</v>
      </c>
    </row>
    <row r="146" spans="1:30" ht="12.75" hidden="1" outlineLevel="2">
      <c r="A146" s="14" t="s">
        <v>314</v>
      </c>
      <c r="B146" s="15" t="s">
        <v>260</v>
      </c>
      <c r="C146" s="48" t="s">
        <v>247</v>
      </c>
      <c r="D146" s="15" t="s">
        <v>261</v>
      </c>
      <c r="E146" s="15" t="s">
        <v>242</v>
      </c>
      <c r="F146" s="16" t="e">
        <f>F143</f>
        <v>#REF!</v>
      </c>
      <c r="G146" s="16" t="e">
        <f t="shared" si="73"/>
        <v>#REF!</v>
      </c>
      <c r="H146" s="16"/>
      <c r="I146" s="16"/>
      <c r="K146" s="17" t="e">
        <f t="shared" ca="1" si="68"/>
        <v>#NAME?</v>
      </c>
      <c r="L146" s="18">
        <v>0</v>
      </c>
      <c r="M146" s="19" t="e">
        <f t="shared" ca="1" si="74"/>
        <v>#NAME?</v>
      </c>
      <c r="N146" s="17" t="e">
        <f t="shared" si="70"/>
        <v>#REF!</v>
      </c>
    </row>
    <row r="147" spans="1:30" ht="12.75" hidden="1" outlineLevel="2">
      <c r="A147" s="14" t="s">
        <v>315</v>
      </c>
      <c r="B147" s="15" t="s">
        <v>260</v>
      </c>
      <c r="C147" s="48" t="s">
        <v>262</v>
      </c>
      <c r="D147" s="15" t="s">
        <v>241</v>
      </c>
      <c r="E147" s="15" t="s">
        <v>137</v>
      </c>
      <c r="F147" s="16" t="e">
        <f>WORKDAY(G143,1)</f>
        <v>#REF!</v>
      </c>
      <c r="G147" s="16" t="e">
        <f>WORKDAY(F147,2)</f>
        <v>#REF!</v>
      </c>
      <c r="H147" s="16"/>
      <c r="I147" s="16"/>
      <c r="K147" s="17" t="e">
        <f t="shared" ca="1" si="68"/>
        <v>#NAME?</v>
      </c>
      <c r="L147" s="18">
        <v>0</v>
      </c>
      <c r="M147" s="19" t="e">
        <f t="shared" ca="1" si="74"/>
        <v>#NAME?</v>
      </c>
      <c r="N147" s="17" t="e">
        <f t="shared" si="70"/>
        <v>#REF!</v>
      </c>
    </row>
    <row r="148" spans="1:30" ht="12.75" hidden="1" outlineLevel="2">
      <c r="A148" s="14" t="s">
        <v>316</v>
      </c>
      <c r="B148" s="15" t="s">
        <v>260</v>
      </c>
      <c r="C148" s="48" t="s">
        <v>263</v>
      </c>
      <c r="D148" s="15" t="s">
        <v>241</v>
      </c>
      <c r="E148" s="15" t="s">
        <v>137</v>
      </c>
      <c r="F148" s="16" t="e">
        <f t="shared" ref="F148:F150" si="75">F147</f>
        <v>#REF!</v>
      </c>
      <c r="G148" s="16" t="e">
        <f t="shared" ref="G148:G150" si="76">WORKDAY(F148,3)</f>
        <v>#REF!</v>
      </c>
      <c r="H148" s="16"/>
      <c r="I148" s="16"/>
      <c r="K148" s="17" t="e">
        <f t="shared" ca="1" si="68"/>
        <v>#NAME?</v>
      </c>
      <c r="L148" s="18">
        <v>0</v>
      </c>
      <c r="M148" s="19" t="e">
        <f t="shared" ca="1" si="74"/>
        <v>#NAME?</v>
      </c>
      <c r="N148" s="17" t="e">
        <f t="shared" si="70"/>
        <v>#REF!</v>
      </c>
    </row>
    <row r="149" spans="1:30" ht="12.75" hidden="1" outlineLevel="2">
      <c r="A149" s="14" t="s">
        <v>317</v>
      </c>
      <c r="B149" s="15" t="s">
        <v>260</v>
      </c>
      <c r="C149" s="48" t="s">
        <v>264</v>
      </c>
      <c r="D149" s="15" t="s">
        <v>241</v>
      </c>
      <c r="E149" s="15" t="s">
        <v>137</v>
      </c>
      <c r="F149" s="16" t="e">
        <f t="shared" si="75"/>
        <v>#REF!</v>
      </c>
      <c r="G149" s="16" t="e">
        <f t="shared" si="76"/>
        <v>#REF!</v>
      </c>
      <c r="H149" s="16"/>
      <c r="I149" s="16"/>
      <c r="K149" s="17" t="e">
        <f t="shared" ca="1" si="68"/>
        <v>#NAME?</v>
      </c>
      <c r="L149" s="18">
        <v>0</v>
      </c>
      <c r="M149" s="19" t="e">
        <f t="shared" ca="1" si="74"/>
        <v>#NAME?</v>
      </c>
      <c r="N149" s="17" t="e">
        <f t="shared" si="70"/>
        <v>#REF!</v>
      </c>
    </row>
    <row r="150" spans="1:30" ht="12.75" hidden="1" outlineLevel="2">
      <c r="A150" s="14" t="s">
        <v>318</v>
      </c>
      <c r="B150" s="15" t="s">
        <v>260</v>
      </c>
      <c r="C150" s="48" t="s">
        <v>265</v>
      </c>
      <c r="D150" s="15" t="s">
        <v>241</v>
      </c>
      <c r="E150" s="15" t="s">
        <v>137</v>
      </c>
      <c r="F150" s="16" t="e">
        <f t="shared" si="75"/>
        <v>#REF!</v>
      </c>
      <c r="G150" s="16" t="e">
        <f t="shared" si="76"/>
        <v>#REF!</v>
      </c>
      <c r="H150" s="16"/>
      <c r="I150" s="16"/>
      <c r="K150" s="17" t="e">
        <f t="shared" ca="1" si="68"/>
        <v>#NAME?</v>
      </c>
      <c r="L150" s="18">
        <v>0</v>
      </c>
      <c r="M150" s="19" t="e">
        <f t="shared" ca="1" si="74"/>
        <v>#NAME?</v>
      </c>
      <c r="N150" s="17" t="e">
        <f t="shared" si="70"/>
        <v>#REF!</v>
      </c>
    </row>
    <row r="151" spans="1:30" ht="12.75" hidden="1" outlineLevel="2">
      <c r="A151" s="14" t="s">
        <v>319</v>
      </c>
      <c r="B151" s="15" t="s">
        <v>260</v>
      </c>
      <c r="C151" s="48" t="s">
        <v>266</v>
      </c>
      <c r="D151" s="15" t="s">
        <v>136</v>
      </c>
      <c r="E151" s="15" t="s">
        <v>137</v>
      </c>
      <c r="F151" s="16" t="e">
        <f>F143</f>
        <v>#REF!</v>
      </c>
      <c r="G151" s="16" t="e">
        <f>WORKDAY(F151,4)</f>
        <v>#REF!</v>
      </c>
      <c r="H151" s="16"/>
      <c r="I151" s="16"/>
      <c r="K151" s="17" t="e">
        <f t="shared" ca="1" si="68"/>
        <v>#NAME?</v>
      </c>
      <c r="L151" s="18">
        <v>0</v>
      </c>
      <c r="M151" s="19" t="e">
        <f t="shared" ca="1" si="74"/>
        <v>#NAME?</v>
      </c>
      <c r="N151" s="17" t="e">
        <f t="shared" si="70"/>
        <v>#REF!</v>
      </c>
    </row>
    <row r="152" spans="1:30" ht="12.75" hidden="1" outlineLevel="2">
      <c r="A152" s="14" t="s">
        <v>320</v>
      </c>
      <c r="B152" s="15" t="s">
        <v>260</v>
      </c>
      <c r="C152" s="48" t="s">
        <v>267</v>
      </c>
      <c r="D152" s="15" t="s">
        <v>136</v>
      </c>
      <c r="E152" s="15" t="s">
        <v>137</v>
      </c>
      <c r="F152" s="16" t="e">
        <f>WORKDAY(G151,1)</f>
        <v>#REF!</v>
      </c>
      <c r="G152" s="16" t="e">
        <f>WORKDAY(F152,2)</f>
        <v>#REF!</v>
      </c>
      <c r="H152" s="16"/>
      <c r="I152" s="16"/>
      <c r="K152" s="17" t="e">
        <f t="shared" ca="1" si="68"/>
        <v>#NAME?</v>
      </c>
      <c r="L152" s="18">
        <v>0</v>
      </c>
      <c r="M152" s="19" t="e">
        <f t="shared" ca="1" si="74"/>
        <v>#NAME?</v>
      </c>
      <c r="N152" s="17" t="e">
        <f t="shared" si="70"/>
        <v>#REF!</v>
      </c>
    </row>
    <row r="153" spans="1:30" ht="12.75" hidden="1" outlineLevel="2">
      <c r="A153" s="14" t="s">
        <v>321</v>
      </c>
      <c r="B153" s="15" t="s">
        <v>260</v>
      </c>
      <c r="C153" s="48" t="s">
        <v>268</v>
      </c>
      <c r="D153" s="15" t="s">
        <v>136</v>
      </c>
      <c r="E153" s="15" t="s">
        <v>137</v>
      </c>
      <c r="F153" s="16" t="e">
        <f t="shared" ref="F153:F155" si="77">F151</f>
        <v>#REF!</v>
      </c>
      <c r="G153" s="16" t="e">
        <f>WORKDAY(F153,4)</f>
        <v>#REF!</v>
      </c>
      <c r="H153" s="16"/>
      <c r="I153" s="16"/>
      <c r="K153" s="17" t="e">
        <f t="shared" ca="1" si="68"/>
        <v>#NAME?</v>
      </c>
      <c r="L153" s="18">
        <v>0</v>
      </c>
      <c r="M153" s="19" t="e">
        <f t="shared" ca="1" si="74"/>
        <v>#NAME?</v>
      </c>
      <c r="N153" s="17" t="e">
        <f t="shared" si="70"/>
        <v>#REF!</v>
      </c>
    </row>
    <row r="154" spans="1:30" ht="12.75" hidden="1" outlineLevel="2">
      <c r="A154" s="14" t="s">
        <v>322</v>
      </c>
      <c r="B154" s="15" t="s">
        <v>260</v>
      </c>
      <c r="C154" s="48" t="s">
        <v>269</v>
      </c>
      <c r="D154" s="15" t="s">
        <v>136</v>
      </c>
      <c r="E154" s="15" t="s">
        <v>137</v>
      </c>
      <c r="F154" s="16" t="e">
        <f t="shared" si="77"/>
        <v>#REF!</v>
      </c>
      <c r="G154" s="16" t="e">
        <f>WORKDAY(F154,2)</f>
        <v>#REF!</v>
      </c>
      <c r="H154" s="16"/>
      <c r="I154" s="16"/>
      <c r="K154" s="17" t="e">
        <f t="shared" ca="1" si="68"/>
        <v>#NAME?</v>
      </c>
      <c r="L154" s="18">
        <v>0</v>
      </c>
      <c r="M154" s="19" t="e">
        <f t="shared" ca="1" si="74"/>
        <v>#NAME?</v>
      </c>
      <c r="N154" s="17" t="e">
        <f t="shared" si="70"/>
        <v>#REF!</v>
      </c>
    </row>
    <row r="155" spans="1:30" ht="12.75" hidden="1" outlineLevel="2">
      <c r="A155" s="14" t="s">
        <v>323</v>
      </c>
      <c r="B155" s="15" t="s">
        <v>260</v>
      </c>
      <c r="C155" s="48" t="s">
        <v>248</v>
      </c>
      <c r="D155" s="15" t="s">
        <v>136</v>
      </c>
      <c r="E155" s="15" t="s">
        <v>137</v>
      </c>
      <c r="F155" s="16" t="e">
        <f t="shared" si="77"/>
        <v>#REF!</v>
      </c>
      <c r="G155" s="16" t="e">
        <f>WORKDAY(F155,5)</f>
        <v>#REF!</v>
      </c>
      <c r="H155" s="16"/>
      <c r="I155" s="16"/>
      <c r="K155" s="17" t="e">
        <f t="shared" ca="1" si="68"/>
        <v>#NAME?</v>
      </c>
      <c r="L155" s="18">
        <v>0</v>
      </c>
      <c r="M155" s="19" t="e">
        <f t="shared" ca="1" si="74"/>
        <v>#NAME?</v>
      </c>
      <c r="N155" s="17" t="e">
        <f t="shared" si="70"/>
        <v>#REF!</v>
      </c>
    </row>
    <row r="156" spans="1:30" ht="12.75" hidden="1" outlineLevel="2">
      <c r="A156" s="14" t="s">
        <v>324</v>
      </c>
      <c r="B156" s="15" t="s">
        <v>260</v>
      </c>
      <c r="C156" s="48" t="s">
        <v>249</v>
      </c>
      <c r="D156" s="15" t="s">
        <v>241</v>
      </c>
      <c r="E156" s="15" t="s">
        <v>137</v>
      </c>
      <c r="F156" s="16" t="e">
        <f t="shared" ref="F156:F157" si="78">F146</f>
        <v>#REF!</v>
      </c>
      <c r="G156" s="16" t="e">
        <f>WORKDAY(F156,7)</f>
        <v>#REF!</v>
      </c>
      <c r="H156" s="16"/>
      <c r="I156" s="16"/>
      <c r="K156" s="17" t="e">
        <f t="shared" ca="1" si="68"/>
        <v>#NAME?</v>
      </c>
      <c r="L156" s="18">
        <v>0</v>
      </c>
      <c r="M156" s="19" t="e">
        <f t="shared" ca="1" si="74"/>
        <v>#NAME?</v>
      </c>
      <c r="N156" s="17" t="e">
        <f t="shared" si="70"/>
        <v>#REF!</v>
      </c>
    </row>
    <row r="157" spans="1:30" ht="12.75" hidden="1" outlineLevel="2">
      <c r="A157" s="14" t="s">
        <v>325</v>
      </c>
      <c r="B157" s="15" t="s">
        <v>260</v>
      </c>
      <c r="C157" s="48" t="s">
        <v>250</v>
      </c>
      <c r="D157" s="15" t="s">
        <v>136</v>
      </c>
      <c r="E157" s="15" t="s">
        <v>137</v>
      </c>
      <c r="F157" s="16" t="e">
        <f t="shared" si="78"/>
        <v>#REF!</v>
      </c>
      <c r="G157" s="16" t="e">
        <f>WORKDAY(F157,3)</f>
        <v>#REF!</v>
      </c>
      <c r="H157" s="16"/>
      <c r="I157" s="16"/>
      <c r="K157" s="17" t="e">
        <f t="shared" ca="1" si="68"/>
        <v>#NAME?</v>
      </c>
      <c r="L157" s="18">
        <v>0</v>
      </c>
      <c r="M157" s="19" t="e">
        <f t="shared" ca="1" si="74"/>
        <v>#NAME?</v>
      </c>
      <c r="N157" s="17" t="e">
        <f t="shared" si="70"/>
        <v>#REF!</v>
      </c>
    </row>
    <row r="158" spans="1:30" ht="12.75" hidden="1" outlineLevel="2">
      <c r="A158" s="14" t="s">
        <v>326</v>
      </c>
      <c r="B158" s="15" t="s">
        <v>260</v>
      </c>
      <c r="C158" s="48" t="s">
        <v>251</v>
      </c>
      <c r="D158" s="15" t="s">
        <v>241</v>
      </c>
      <c r="E158" s="15" t="s">
        <v>137</v>
      </c>
      <c r="F158" s="16" t="e">
        <f>F151</f>
        <v>#REF!</v>
      </c>
      <c r="G158" s="16" t="e">
        <f>WORKDAY(F158,4)</f>
        <v>#REF!</v>
      </c>
      <c r="H158" s="16"/>
      <c r="I158" s="16"/>
      <c r="K158" s="17" t="e">
        <f t="shared" ca="1" si="68"/>
        <v>#NAME?</v>
      </c>
      <c r="L158" s="18">
        <v>0</v>
      </c>
      <c r="M158" s="19" t="e">
        <f t="shared" ca="1" si="74"/>
        <v>#NAME?</v>
      </c>
      <c r="N158" s="17" t="e">
        <f t="shared" si="70"/>
        <v>#REF!</v>
      </c>
    </row>
    <row r="159" spans="1:30" ht="12.75" hidden="1" outlineLevel="2">
      <c r="A159" s="14" t="s">
        <v>327</v>
      </c>
      <c r="B159" s="15" t="s">
        <v>260</v>
      </c>
      <c r="C159" s="15" t="s">
        <v>270</v>
      </c>
      <c r="D159" s="15" t="s">
        <v>243</v>
      </c>
      <c r="E159" s="15" t="s">
        <v>244</v>
      </c>
      <c r="F159" s="16" t="e">
        <f>F143</f>
        <v>#REF!</v>
      </c>
      <c r="G159" s="16" t="e">
        <f>WORKDAY(F159,7)</f>
        <v>#REF!</v>
      </c>
      <c r="H159" s="16"/>
      <c r="I159" s="16"/>
      <c r="K159" s="17" t="e">
        <f t="shared" ca="1" si="68"/>
        <v>#NAME?</v>
      </c>
      <c r="L159" s="18">
        <v>0</v>
      </c>
      <c r="M159" s="19" t="e">
        <f t="shared" ca="1" si="74"/>
        <v>#NAME?</v>
      </c>
      <c r="N159" s="17" t="e">
        <f t="shared" si="70"/>
        <v>#REF!</v>
      </c>
    </row>
    <row r="160" spans="1:30" ht="12.75" hidden="1" outlineLevel="1" collapsed="1">
      <c r="A160" s="28" t="s">
        <v>328</v>
      </c>
      <c r="B160" s="29" t="s">
        <v>230</v>
      </c>
      <c r="C160" s="30"/>
      <c r="D160" s="29"/>
      <c r="E160" s="29"/>
      <c r="F160" s="31" t="e">
        <f>MIN((F161:F169))</f>
        <v>#REF!</v>
      </c>
      <c r="G160" s="31" t="e">
        <f>MAX((G161:G169))</f>
        <v>#REF!</v>
      </c>
      <c r="H160" s="31"/>
      <c r="I160" s="31"/>
      <c r="J160" s="30"/>
      <c r="K160" s="30" t="e">
        <f t="shared" ca="1" si="68"/>
        <v>#NAME?</v>
      </c>
      <c r="L160" s="32">
        <f t="shared" ref="L160:M160" si="79">AVERAGE(L161:L169)</f>
        <v>0</v>
      </c>
      <c r="M160" s="32" t="e">
        <f t="shared" ca="1" si="79"/>
        <v>#NAME?</v>
      </c>
      <c r="N160" s="30" t="e">
        <f t="shared" si="70"/>
        <v>#REF!</v>
      </c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spans="1:30" ht="12.75" hidden="1" outlineLevel="2">
      <c r="A161" s="14" t="s">
        <v>329</v>
      </c>
      <c r="B161" s="15" t="s">
        <v>254</v>
      </c>
      <c r="C161" s="15" t="s">
        <v>255</v>
      </c>
      <c r="D161" s="15" t="s">
        <v>17</v>
      </c>
      <c r="E161" s="15" t="s">
        <v>228</v>
      </c>
      <c r="F161" s="16" t="e">
        <f>WORKDAY(G142,1)</f>
        <v>#REF!</v>
      </c>
      <c r="G161" s="16" t="e">
        <f>WORKDAY(F161,10)</f>
        <v>#REF!</v>
      </c>
      <c r="H161" s="16"/>
      <c r="I161" s="16"/>
      <c r="K161" s="17" t="e">
        <f t="shared" ca="1" si="68"/>
        <v>#NAME?</v>
      </c>
      <c r="L161" s="18">
        <v>0</v>
      </c>
      <c r="M161" s="19" t="e">
        <f t="shared" ref="M161:M169" ca="1" si="80">IFS(L161=1,1,F161=TODAY(),0,(AND(F161=G161,F161=TODAY())),(NOW()-TODAY()),(TODAY()-F161)/N161&gt;=1,1,(TODAY()-F161)/N161&lt;0,0,AND((TODAY()-F161)/N161&lt;1,(TODAY()-F161)/N161&gt;0),(TODAY()-F161)/N161)</f>
        <v>#NAME?</v>
      </c>
      <c r="N161" s="17" t="e">
        <f t="shared" si="70"/>
        <v>#REF!</v>
      </c>
    </row>
    <row r="162" spans="1:30" ht="12.75" hidden="1" outlineLevel="2">
      <c r="A162" s="14" t="s">
        <v>330</v>
      </c>
      <c r="B162" s="15" t="s">
        <v>254</v>
      </c>
      <c r="C162" s="15" t="s">
        <v>256</v>
      </c>
      <c r="D162" s="15" t="s">
        <v>44</v>
      </c>
      <c r="E162" s="15" t="s">
        <v>228</v>
      </c>
      <c r="F162" s="16" t="e">
        <f>WORKDAY(G161,-5)</f>
        <v>#REF!</v>
      </c>
      <c r="G162" s="16" t="e">
        <f>WORKDAY(G161,5)</f>
        <v>#REF!</v>
      </c>
      <c r="H162" s="16"/>
      <c r="I162" s="16"/>
      <c r="K162" s="17" t="e">
        <f t="shared" ca="1" si="68"/>
        <v>#NAME?</v>
      </c>
      <c r="L162" s="18">
        <v>0</v>
      </c>
      <c r="M162" s="19" t="e">
        <f t="shared" ca="1" si="80"/>
        <v>#NAME?</v>
      </c>
      <c r="N162" s="17" t="e">
        <f t="shared" si="70"/>
        <v>#REF!</v>
      </c>
    </row>
    <row r="163" spans="1:30" ht="12.75" hidden="1" outlineLevel="2">
      <c r="A163" s="14" t="s">
        <v>331</v>
      </c>
      <c r="B163" s="15" t="s">
        <v>254</v>
      </c>
      <c r="C163" s="15" t="s">
        <v>257</v>
      </c>
      <c r="D163" s="15" t="s">
        <v>17</v>
      </c>
      <c r="E163" s="15" t="s">
        <v>228</v>
      </c>
      <c r="F163" s="16" t="e">
        <f>WORKDAY(G161,2)</f>
        <v>#REF!</v>
      </c>
      <c r="G163" s="16" t="e">
        <f>WORKDAY(F163,10)</f>
        <v>#REF!</v>
      </c>
      <c r="H163" s="16"/>
      <c r="I163" s="16"/>
      <c r="K163" s="17" t="e">
        <f t="shared" ca="1" si="68"/>
        <v>#NAME?</v>
      </c>
      <c r="L163" s="18">
        <v>0</v>
      </c>
      <c r="M163" s="19" t="e">
        <f t="shared" ca="1" si="80"/>
        <v>#NAME?</v>
      </c>
      <c r="N163" s="17" t="e">
        <f t="shared" si="70"/>
        <v>#REF!</v>
      </c>
    </row>
    <row r="164" spans="1:30" ht="12.75" hidden="1" outlineLevel="2">
      <c r="A164" s="14" t="s">
        <v>332</v>
      </c>
      <c r="B164" s="15" t="s">
        <v>254</v>
      </c>
      <c r="C164" s="15" t="s">
        <v>258</v>
      </c>
      <c r="D164" s="15" t="s">
        <v>44</v>
      </c>
      <c r="E164" s="15" t="s">
        <v>228</v>
      </c>
      <c r="F164" s="16" t="e">
        <f>WORKDAY(G163,-5)</f>
        <v>#REF!</v>
      </c>
      <c r="G164" s="16" t="e">
        <f>WORKDAY(G163,5)</f>
        <v>#REF!</v>
      </c>
      <c r="H164" s="16"/>
      <c r="I164" s="16"/>
      <c r="K164" s="17" t="e">
        <f t="shared" ca="1" si="68"/>
        <v>#NAME?</v>
      </c>
      <c r="L164" s="18">
        <v>0</v>
      </c>
      <c r="M164" s="19" t="e">
        <f t="shared" ca="1" si="80"/>
        <v>#NAME?</v>
      </c>
      <c r="N164" s="17" t="e">
        <f t="shared" si="70"/>
        <v>#REF!</v>
      </c>
    </row>
    <row r="165" spans="1:30" ht="12.75" hidden="1" outlineLevel="2">
      <c r="A165" s="14" t="s">
        <v>333</v>
      </c>
      <c r="B165" s="15" t="s">
        <v>271</v>
      </c>
      <c r="C165" s="15" t="s">
        <v>272</v>
      </c>
      <c r="D165" s="15" t="s">
        <v>17</v>
      </c>
      <c r="E165" s="15" t="s">
        <v>228</v>
      </c>
      <c r="F165" s="16" t="e">
        <f>WORKDAY(G163,2)</f>
        <v>#REF!</v>
      </c>
      <c r="G165" s="16" t="e">
        <f>WORKDAY(F165,10)</f>
        <v>#REF!</v>
      </c>
      <c r="H165" s="16"/>
      <c r="J165" s="15" t="s">
        <v>273</v>
      </c>
      <c r="K165" s="17" t="e">
        <f t="shared" ca="1" si="68"/>
        <v>#NAME?</v>
      </c>
      <c r="L165" s="18">
        <v>0</v>
      </c>
      <c r="M165" s="19" t="e">
        <f t="shared" ca="1" si="80"/>
        <v>#NAME?</v>
      </c>
      <c r="N165" s="17" t="e">
        <f t="shared" si="70"/>
        <v>#REF!</v>
      </c>
    </row>
    <row r="166" spans="1:30" ht="12.75" hidden="1" outlineLevel="2">
      <c r="A166" s="14" t="s">
        <v>334</v>
      </c>
      <c r="B166" s="15" t="s">
        <v>271</v>
      </c>
      <c r="C166" s="15" t="s">
        <v>274</v>
      </c>
      <c r="D166" s="15" t="s">
        <v>44</v>
      </c>
      <c r="E166" s="15" t="s">
        <v>228</v>
      </c>
      <c r="F166" s="16" t="e">
        <f>WORKDAY(G165,-5)</f>
        <v>#REF!</v>
      </c>
      <c r="G166" s="16" t="e">
        <f>WORKDAY(G165,5)</f>
        <v>#REF!</v>
      </c>
      <c r="H166" s="16"/>
      <c r="I166" s="16"/>
      <c r="K166" s="17" t="e">
        <f t="shared" ca="1" si="68"/>
        <v>#NAME?</v>
      </c>
      <c r="L166" s="18">
        <v>0</v>
      </c>
      <c r="M166" s="19" t="e">
        <f t="shared" ca="1" si="80"/>
        <v>#NAME?</v>
      </c>
      <c r="N166" s="17" t="e">
        <f t="shared" si="70"/>
        <v>#REF!</v>
      </c>
    </row>
    <row r="167" spans="1:30" ht="12.75" hidden="1" outlineLevel="2">
      <c r="A167" s="14" t="s">
        <v>335</v>
      </c>
      <c r="B167" s="15" t="s">
        <v>275</v>
      </c>
      <c r="C167" s="15" t="s">
        <v>276</v>
      </c>
      <c r="D167" s="15" t="s">
        <v>17</v>
      </c>
      <c r="E167" s="15" t="s">
        <v>228</v>
      </c>
      <c r="F167" s="16" t="e">
        <f>F165</f>
        <v>#REF!</v>
      </c>
      <c r="G167" s="16" t="e">
        <f>WORKDAY(F167,10)</f>
        <v>#REF!</v>
      </c>
      <c r="H167" s="16"/>
      <c r="I167" s="16"/>
      <c r="K167" s="17" t="e">
        <f t="shared" ca="1" si="68"/>
        <v>#NAME?</v>
      </c>
      <c r="L167" s="18">
        <v>0</v>
      </c>
      <c r="M167" s="19" t="e">
        <f t="shared" ca="1" si="80"/>
        <v>#NAME?</v>
      </c>
      <c r="N167" s="17" t="e">
        <f t="shared" si="70"/>
        <v>#REF!</v>
      </c>
    </row>
    <row r="168" spans="1:30" ht="12.75" hidden="1" outlineLevel="2">
      <c r="A168" s="14" t="s">
        <v>336</v>
      </c>
      <c r="B168" s="15" t="s">
        <v>275</v>
      </c>
      <c r="C168" s="15" t="s">
        <v>274</v>
      </c>
      <c r="D168" s="15" t="s">
        <v>44</v>
      </c>
      <c r="E168" s="15" t="s">
        <v>228</v>
      </c>
      <c r="F168" s="16" t="e">
        <f>WORKDAY(G167,-5)</f>
        <v>#REF!</v>
      </c>
      <c r="G168" s="16" t="e">
        <f>WORKDAY(G167,5)</f>
        <v>#REF!</v>
      </c>
      <c r="H168" s="16"/>
      <c r="I168" s="16"/>
      <c r="K168" s="17" t="e">
        <f t="shared" ca="1" si="68"/>
        <v>#NAME?</v>
      </c>
      <c r="L168" s="18">
        <v>0</v>
      </c>
      <c r="M168" s="19" t="e">
        <f t="shared" ca="1" si="80"/>
        <v>#NAME?</v>
      </c>
      <c r="N168" s="17" t="e">
        <f t="shared" si="70"/>
        <v>#REF!</v>
      </c>
    </row>
    <row r="169" spans="1:30" ht="12.75" hidden="1" outlineLevel="2">
      <c r="A169" s="14" t="s">
        <v>337</v>
      </c>
      <c r="B169" s="15" t="s">
        <v>254</v>
      </c>
      <c r="C169" s="15" t="s">
        <v>277</v>
      </c>
      <c r="D169" s="15" t="s">
        <v>17</v>
      </c>
      <c r="E169" s="15" t="s">
        <v>228</v>
      </c>
      <c r="F169" s="16" t="e">
        <f>WORKDAY(G168,2)</f>
        <v>#REF!</v>
      </c>
      <c r="G169" s="16" t="e">
        <f>WORKDAY(F169,5)</f>
        <v>#REF!</v>
      </c>
      <c r="H169" s="16"/>
      <c r="I169" s="16"/>
      <c r="K169" s="17" t="e">
        <f t="shared" ca="1" si="68"/>
        <v>#NAME?</v>
      </c>
      <c r="L169" s="18">
        <v>0</v>
      </c>
      <c r="M169" s="19" t="e">
        <f t="shared" ca="1" si="80"/>
        <v>#NAME?</v>
      </c>
      <c r="N169" s="17" t="e">
        <f t="shared" si="70"/>
        <v>#REF!</v>
      </c>
    </row>
    <row r="170" spans="1:30" ht="12.75" hidden="1" outlineLevel="1" collapsed="1">
      <c r="A170" s="28" t="s">
        <v>338</v>
      </c>
      <c r="B170" s="29" t="s">
        <v>278</v>
      </c>
      <c r="C170" s="30"/>
      <c r="D170" s="29"/>
      <c r="E170" s="29"/>
      <c r="F170" s="31" t="e">
        <f>MIN(F171:F180)</f>
        <v>#REF!</v>
      </c>
      <c r="G170" s="31" t="e">
        <f>MAX(G171:G180)</f>
        <v>#REF!</v>
      </c>
      <c r="H170" s="31"/>
      <c r="I170" s="31"/>
      <c r="J170" s="29"/>
      <c r="K170" s="30" t="e">
        <f t="shared" ca="1" si="68"/>
        <v>#NAME?</v>
      </c>
      <c r="L170" s="32">
        <f t="shared" ref="L170:M170" si="81">AVERAGE(L171:L180)</f>
        <v>0</v>
      </c>
      <c r="M170" s="32" t="e">
        <f t="shared" ca="1" si="81"/>
        <v>#NAME?</v>
      </c>
      <c r="N170" s="30" t="e">
        <f t="shared" si="70"/>
        <v>#REF!</v>
      </c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spans="1:30" ht="12.75" hidden="1" outlineLevel="2">
      <c r="A171" s="14" t="s">
        <v>339</v>
      </c>
      <c r="B171" s="15" t="s">
        <v>279</v>
      </c>
      <c r="C171" s="15" t="s">
        <v>280</v>
      </c>
      <c r="D171" s="15" t="s">
        <v>178</v>
      </c>
      <c r="E171" s="15" t="s">
        <v>137</v>
      </c>
      <c r="F171" s="16" t="e">
        <f>WORKDAY(G160,1)</f>
        <v>#REF!</v>
      </c>
      <c r="G171" s="16" t="e">
        <f>WORKDAY(F171,1)</f>
        <v>#REF!</v>
      </c>
      <c r="H171" s="16"/>
      <c r="I171" s="16"/>
      <c r="K171" s="17" t="e">
        <f t="shared" ca="1" si="68"/>
        <v>#NAME?</v>
      </c>
      <c r="L171" s="18">
        <v>0</v>
      </c>
      <c r="M171" s="19" t="e">
        <f t="shared" ref="M171:M180" ca="1" si="82">IFS(L171=1,1,F171=TODAY(),0,(AND(F171=G171,F171=TODAY())),(NOW()-TODAY()),(TODAY()-F171)/N171&gt;=1,1,(TODAY()-F171)/N171&lt;0,0,AND((TODAY()-F171)/N171&lt;1,(TODAY()-F171)/N171&gt;0),(TODAY()-F171)/N171)</f>
        <v>#NAME?</v>
      </c>
      <c r="N171" s="17" t="e">
        <f t="shared" si="70"/>
        <v>#REF!</v>
      </c>
    </row>
    <row r="172" spans="1:30" ht="12.75" hidden="1" outlineLevel="2">
      <c r="A172" s="14" t="s">
        <v>340</v>
      </c>
      <c r="B172" s="15" t="s">
        <v>279</v>
      </c>
      <c r="C172" s="15" t="s">
        <v>281</v>
      </c>
      <c r="D172" s="15" t="s">
        <v>178</v>
      </c>
      <c r="E172" s="15" t="s">
        <v>137</v>
      </c>
      <c r="F172" s="16" t="e">
        <f>WORKDAY(G171,1)</f>
        <v>#REF!</v>
      </c>
      <c r="G172" s="16" t="e">
        <f>WORKDAY(F172,2)</f>
        <v>#REF!</v>
      </c>
      <c r="H172" s="16"/>
      <c r="I172" s="16"/>
      <c r="K172" s="17" t="e">
        <f t="shared" ca="1" si="68"/>
        <v>#NAME?</v>
      </c>
      <c r="L172" s="18">
        <v>0</v>
      </c>
      <c r="M172" s="19" t="e">
        <f t="shared" ca="1" si="82"/>
        <v>#NAME?</v>
      </c>
      <c r="N172" s="17" t="e">
        <f t="shared" si="70"/>
        <v>#REF!</v>
      </c>
    </row>
    <row r="173" spans="1:30" ht="12.75" hidden="1" outlineLevel="2">
      <c r="A173" s="14" t="s">
        <v>341</v>
      </c>
      <c r="B173" s="15" t="s">
        <v>279</v>
      </c>
      <c r="C173" s="15" t="s">
        <v>282</v>
      </c>
      <c r="D173" s="15" t="s">
        <v>178</v>
      </c>
      <c r="E173" s="15" t="s">
        <v>137</v>
      </c>
      <c r="F173" s="16" t="e">
        <f t="shared" ref="F173:F178" si="83">F172</f>
        <v>#REF!</v>
      </c>
      <c r="G173" s="16" t="e">
        <f>WORKDAY(G171,4)</f>
        <v>#REF!</v>
      </c>
      <c r="H173" s="16"/>
      <c r="I173" s="16"/>
      <c r="K173" s="17" t="e">
        <f t="shared" ca="1" si="68"/>
        <v>#NAME?</v>
      </c>
      <c r="L173" s="18">
        <v>0</v>
      </c>
      <c r="M173" s="19" t="e">
        <f t="shared" ca="1" si="82"/>
        <v>#NAME?</v>
      </c>
      <c r="N173" s="17" t="e">
        <f t="shared" si="70"/>
        <v>#REF!</v>
      </c>
    </row>
    <row r="174" spans="1:30" ht="12.75" hidden="1" outlineLevel="2">
      <c r="A174" s="14" t="s">
        <v>342</v>
      </c>
      <c r="B174" s="15" t="s">
        <v>279</v>
      </c>
      <c r="C174" s="15" t="s">
        <v>283</v>
      </c>
      <c r="D174" s="15" t="s">
        <v>178</v>
      </c>
      <c r="E174" s="15" t="s">
        <v>137</v>
      </c>
      <c r="F174" s="16" t="e">
        <f t="shared" si="83"/>
        <v>#REF!</v>
      </c>
      <c r="G174" s="16" t="e">
        <f>WORKDAY(F174,2)</f>
        <v>#REF!</v>
      </c>
      <c r="H174" s="16"/>
      <c r="I174" s="16"/>
      <c r="K174" s="17" t="e">
        <f t="shared" ca="1" si="68"/>
        <v>#NAME?</v>
      </c>
      <c r="L174" s="18">
        <v>0</v>
      </c>
      <c r="M174" s="19" t="e">
        <f t="shared" ca="1" si="82"/>
        <v>#NAME?</v>
      </c>
      <c r="N174" s="17" t="e">
        <f t="shared" si="70"/>
        <v>#REF!</v>
      </c>
    </row>
    <row r="175" spans="1:30" ht="12.75" hidden="1" outlineLevel="2">
      <c r="A175" s="14" t="s">
        <v>343</v>
      </c>
      <c r="B175" s="15" t="s">
        <v>279</v>
      </c>
      <c r="C175" s="15" t="s">
        <v>284</v>
      </c>
      <c r="D175" s="15" t="s">
        <v>178</v>
      </c>
      <c r="E175" s="15" t="s">
        <v>137</v>
      </c>
      <c r="F175" s="16" t="e">
        <f t="shared" si="83"/>
        <v>#REF!</v>
      </c>
      <c r="G175" s="16" t="e">
        <f>G173</f>
        <v>#REF!</v>
      </c>
      <c r="H175" s="16"/>
      <c r="I175" s="16"/>
      <c r="K175" s="17" t="e">
        <f t="shared" ca="1" si="68"/>
        <v>#NAME?</v>
      </c>
      <c r="L175" s="18">
        <v>0</v>
      </c>
      <c r="M175" s="19" t="e">
        <f t="shared" ca="1" si="82"/>
        <v>#NAME?</v>
      </c>
      <c r="N175" s="17" t="e">
        <f t="shared" si="70"/>
        <v>#REF!</v>
      </c>
    </row>
    <row r="176" spans="1:30" ht="12.75" hidden="1" outlineLevel="2">
      <c r="A176" s="14" t="s">
        <v>344</v>
      </c>
      <c r="B176" s="15" t="s">
        <v>279</v>
      </c>
      <c r="C176" s="15" t="s">
        <v>285</v>
      </c>
      <c r="D176" s="15" t="s">
        <v>178</v>
      </c>
      <c r="E176" s="15" t="s">
        <v>137</v>
      </c>
      <c r="F176" s="16" t="e">
        <f t="shared" si="83"/>
        <v>#REF!</v>
      </c>
      <c r="G176" s="16" t="e">
        <f t="shared" ref="G176:G178" si="84">G175</f>
        <v>#REF!</v>
      </c>
      <c r="H176" s="16"/>
      <c r="I176" s="16"/>
      <c r="K176" s="17" t="e">
        <f t="shared" ca="1" si="68"/>
        <v>#NAME?</v>
      </c>
      <c r="L176" s="18">
        <v>0</v>
      </c>
      <c r="M176" s="19" t="e">
        <f t="shared" ca="1" si="82"/>
        <v>#NAME?</v>
      </c>
      <c r="N176" s="17" t="e">
        <f t="shared" si="70"/>
        <v>#REF!</v>
      </c>
    </row>
    <row r="177" spans="1:30" ht="12.75" hidden="1" outlineLevel="2">
      <c r="A177" s="14" t="s">
        <v>345</v>
      </c>
      <c r="B177" s="15" t="s">
        <v>279</v>
      </c>
      <c r="C177" s="15" t="s">
        <v>286</v>
      </c>
      <c r="D177" s="15" t="s">
        <v>178</v>
      </c>
      <c r="E177" s="15" t="s">
        <v>137</v>
      </c>
      <c r="F177" s="16" t="e">
        <f t="shared" si="83"/>
        <v>#REF!</v>
      </c>
      <c r="G177" s="16" t="e">
        <f t="shared" si="84"/>
        <v>#REF!</v>
      </c>
      <c r="H177" s="16"/>
      <c r="I177" s="16"/>
      <c r="K177" s="17" t="e">
        <f t="shared" ca="1" si="68"/>
        <v>#NAME?</v>
      </c>
      <c r="L177" s="18">
        <v>0</v>
      </c>
      <c r="M177" s="19" t="e">
        <f t="shared" ca="1" si="82"/>
        <v>#NAME?</v>
      </c>
      <c r="N177" s="17" t="e">
        <f t="shared" si="70"/>
        <v>#REF!</v>
      </c>
    </row>
    <row r="178" spans="1:30" ht="12.75" hidden="1" outlineLevel="2">
      <c r="A178" s="14" t="s">
        <v>346</v>
      </c>
      <c r="B178" s="15" t="s">
        <v>279</v>
      </c>
      <c r="C178" s="15" t="s">
        <v>287</v>
      </c>
      <c r="D178" s="15" t="s">
        <v>178</v>
      </c>
      <c r="E178" s="15" t="s">
        <v>137</v>
      </c>
      <c r="F178" s="16" t="e">
        <f t="shared" si="83"/>
        <v>#REF!</v>
      </c>
      <c r="G178" s="16" t="e">
        <f t="shared" si="84"/>
        <v>#REF!</v>
      </c>
      <c r="H178" s="16"/>
      <c r="I178" s="16"/>
      <c r="K178" s="17" t="e">
        <f t="shared" ca="1" si="68"/>
        <v>#NAME?</v>
      </c>
      <c r="L178" s="18">
        <v>0</v>
      </c>
      <c r="M178" s="19" t="e">
        <f t="shared" ca="1" si="82"/>
        <v>#NAME?</v>
      </c>
      <c r="N178" s="17" t="e">
        <f t="shared" si="70"/>
        <v>#REF!</v>
      </c>
    </row>
    <row r="179" spans="1:30" ht="12.75" hidden="1" outlineLevel="2">
      <c r="A179" s="14" t="s">
        <v>347</v>
      </c>
      <c r="B179" s="15" t="s">
        <v>279</v>
      </c>
      <c r="C179" s="15" t="s">
        <v>288</v>
      </c>
      <c r="D179" s="15" t="s">
        <v>178</v>
      </c>
      <c r="E179" s="15" t="s">
        <v>137</v>
      </c>
      <c r="F179" s="16" t="e">
        <f>WORKDAY(G178,1)</f>
        <v>#REF!</v>
      </c>
      <c r="G179" s="16" t="e">
        <f t="shared" ref="G179:G180" si="85">WORKDAY(F179,1)</f>
        <v>#REF!</v>
      </c>
      <c r="H179" s="16"/>
      <c r="I179" s="16"/>
      <c r="K179" s="17" t="e">
        <f t="shared" ca="1" si="68"/>
        <v>#NAME?</v>
      </c>
      <c r="L179" s="18">
        <v>0</v>
      </c>
      <c r="M179" s="19" t="e">
        <f t="shared" ca="1" si="82"/>
        <v>#NAME?</v>
      </c>
      <c r="N179" s="17" t="e">
        <f t="shared" si="70"/>
        <v>#REF!</v>
      </c>
    </row>
    <row r="180" spans="1:30" ht="12.75" hidden="1" outlineLevel="2">
      <c r="A180" s="14" t="s">
        <v>348</v>
      </c>
      <c r="B180" s="15" t="s">
        <v>279</v>
      </c>
      <c r="C180" s="15" t="s">
        <v>289</v>
      </c>
      <c r="D180" s="15" t="s">
        <v>178</v>
      </c>
      <c r="E180" s="15" t="s">
        <v>137</v>
      </c>
      <c r="F180" s="16" t="e">
        <f>F179</f>
        <v>#REF!</v>
      </c>
      <c r="G180" s="16" t="e">
        <f t="shared" si="85"/>
        <v>#REF!</v>
      </c>
      <c r="H180" s="16"/>
      <c r="I180" s="16"/>
      <c r="K180" s="17" t="e">
        <f t="shared" ca="1" si="68"/>
        <v>#NAME?</v>
      </c>
      <c r="L180" s="18">
        <v>0</v>
      </c>
      <c r="M180" s="19" t="e">
        <f t="shared" ca="1" si="82"/>
        <v>#NAME?</v>
      </c>
      <c r="N180" s="17" t="e">
        <f t="shared" si="70"/>
        <v>#REF!</v>
      </c>
    </row>
    <row r="181" spans="1:30" ht="12.75" hidden="1" outlineLevel="1" collapsed="1">
      <c r="A181" s="28" t="s">
        <v>349</v>
      </c>
      <c r="B181" s="29" t="s">
        <v>290</v>
      </c>
      <c r="C181" s="30"/>
      <c r="D181" s="29"/>
      <c r="E181" s="29"/>
      <c r="F181" s="31" t="e">
        <f>MIN(F182:F189)</f>
        <v>#REF!</v>
      </c>
      <c r="G181" s="31" t="e">
        <f>MAX(G182:G189)</f>
        <v>#REF!</v>
      </c>
      <c r="H181" s="31"/>
      <c r="I181" s="31"/>
      <c r="J181" s="29"/>
      <c r="K181" s="30" t="e">
        <f t="shared" ca="1" si="68"/>
        <v>#NAME?</v>
      </c>
      <c r="L181" s="32">
        <f t="shared" ref="L181:M181" si="86">AVERAGE(L182:L189)</f>
        <v>0</v>
      </c>
      <c r="M181" s="32" t="e">
        <f t="shared" ca="1" si="86"/>
        <v>#NAME?</v>
      </c>
      <c r="N181" s="30" t="e">
        <f t="shared" si="70"/>
        <v>#REF!</v>
      </c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spans="1:30" ht="12.75" hidden="1" outlineLevel="2">
      <c r="A182" s="14" t="s">
        <v>350</v>
      </c>
      <c r="B182" s="15" t="s">
        <v>184</v>
      </c>
      <c r="C182" s="15" t="s">
        <v>184</v>
      </c>
      <c r="D182" s="15" t="s">
        <v>23</v>
      </c>
      <c r="E182" s="15" t="s">
        <v>137</v>
      </c>
      <c r="F182" s="16" t="e">
        <f>WORKDAY(G180,5)</f>
        <v>#REF!</v>
      </c>
      <c r="G182" s="16" t="e">
        <f>WORKDAY(F182,0)</f>
        <v>#REF!</v>
      </c>
      <c r="H182" s="16"/>
      <c r="I182" s="16"/>
      <c r="K182" s="17" t="e">
        <f t="shared" ca="1" si="68"/>
        <v>#NAME?</v>
      </c>
      <c r="L182" s="18">
        <v>0</v>
      </c>
      <c r="M182" s="19" t="e">
        <f t="shared" ref="M182:M189" ca="1" si="87">IFS(L182=1,1,F182=TODAY(),0,(AND(F182=G182,F182=TODAY())),(NOW()-TODAY()),(TODAY()-F182)/N182&gt;=1,1,(TODAY()-F182)/N182&lt;0,0,AND((TODAY()-F182)/N182&lt;1,(TODAY()-F182)/N182&gt;0),(TODAY()-F182)/N182)</f>
        <v>#NAME?</v>
      </c>
      <c r="N182" s="17" t="e">
        <f t="shared" si="70"/>
        <v>#REF!</v>
      </c>
    </row>
    <row r="183" spans="1:30" ht="12.75" hidden="1" outlineLevel="2">
      <c r="A183" s="14" t="s">
        <v>351</v>
      </c>
      <c r="B183" s="15" t="s">
        <v>291</v>
      </c>
      <c r="C183" s="15" t="s">
        <v>292</v>
      </c>
      <c r="D183" s="15" t="s">
        <v>17</v>
      </c>
      <c r="E183" s="15" t="s">
        <v>137</v>
      </c>
      <c r="F183" s="16" t="e">
        <f>WORKDAY(G182,1)</f>
        <v>#REF!</v>
      </c>
      <c r="G183" s="16" t="e">
        <f t="shared" ref="G183:G189" si="88">F183+3</f>
        <v>#REF!</v>
      </c>
      <c r="H183" s="16"/>
      <c r="I183" s="16"/>
      <c r="K183" s="17" t="e">
        <f t="shared" ca="1" si="68"/>
        <v>#NAME?</v>
      </c>
      <c r="L183" s="18">
        <v>0</v>
      </c>
      <c r="M183" s="19" t="e">
        <f t="shared" ca="1" si="87"/>
        <v>#NAME?</v>
      </c>
      <c r="N183" s="17" t="e">
        <f t="shared" si="70"/>
        <v>#REF!</v>
      </c>
    </row>
    <row r="184" spans="1:30" ht="12.75" hidden="1" outlineLevel="2">
      <c r="A184" s="14" t="s">
        <v>352</v>
      </c>
      <c r="B184" s="15" t="s">
        <v>291</v>
      </c>
      <c r="C184" s="15" t="s">
        <v>293</v>
      </c>
      <c r="D184" s="15" t="s">
        <v>17</v>
      </c>
      <c r="E184" s="15" t="s">
        <v>137</v>
      </c>
      <c r="F184" s="16" t="e">
        <f t="shared" ref="F184:F189" si="89">F183</f>
        <v>#REF!</v>
      </c>
      <c r="G184" s="16" t="e">
        <f t="shared" si="88"/>
        <v>#REF!</v>
      </c>
      <c r="H184" s="16"/>
      <c r="I184" s="16"/>
      <c r="K184" s="17" t="e">
        <f t="shared" ca="1" si="68"/>
        <v>#NAME?</v>
      </c>
      <c r="L184" s="18">
        <v>0</v>
      </c>
      <c r="M184" s="19" t="e">
        <f t="shared" ca="1" si="87"/>
        <v>#NAME?</v>
      </c>
      <c r="N184" s="17" t="e">
        <f t="shared" si="70"/>
        <v>#REF!</v>
      </c>
    </row>
    <row r="185" spans="1:30" ht="12.75" hidden="1" outlineLevel="2">
      <c r="A185" s="14" t="s">
        <v>353</v>
      </c>
      <c r="B185" s="15" t="s">
        <v>294</v>
      </c>
      <c r="C185" s="15" t="s">
        <v>295</v>
      </c>
      <c r="D185" s="15" t="s">
        <v>17</v>
      </c>
      <c r="E185" s="15" t="s">
        <v>137</v>
      </c>
      <c r="F185" s="16" t="e">
        <f t="shared" si="89"/>
        <v>#REF!</v>
      </c>
      <c r="G185" s="16" t="e">
        <f t="shared" si="88"/>
        <v>#REF!</v>
      </c>
      <c r="H185" s="16"/>
      <c r="I185" s="16"/>
      <c r="K185" s="17" t="e">
        <f t="shared" ca="1" si="68"/>
        <v>#NAME?</v>
      </c>
      <c r="L185" s="18">
        <v>0</v>
      </c>
      <c r="M185" s="19" t="e">
        <f t="shared" ca="1" si="87"/>
        <v>#NAME?</v>
      </c>
      <c r="N185" s="17" t="e">
        <f t="shared" si="70"/>
        <v>#REF!</v>
      </c>
    </row>
    <row r="186" spans="1:30" ht="12.75" hidden="1" outlineLevel="2">
      <c r="A186" s="14" t="s">
        <v>354</v>
      </c>
      <c r="B186" s="15" t="s">
        <v>296</v>
      </c>
      <c r="C186" s="15" t="s">
        <v>297</v>
      </c>
      <c r="D186" s="15" t="s">
        <v>17</v>
      </c>
      <c r="E186" s="15" t="s">
        <v>137</v>
      </c>
      <c r="F186" s="16" t="e">
        <f t="shared" si="89"/>
        <v>#REF!</v>
      </c>
      <c r="G186" s="16" t="e">
        <f t="shared" si="88"/>
        <v>#REF!</v>
      </c>
      <c r="H186" s="16"/>
      <c r="I186" s="16"/>
      <c r="K186" s="17" t="e">
        <f t="shared" ca="1" si="68"/>
        <v>#NAME?</v>
      </c>
      <c r="L186" s="18">
        <v>0</v>
      </c>
      <c r="M186" s="19" t="e">
        <f t="shared" ca="1" si="87"/>
        <v>#NAME?</v>
      </c>
      <c r="N186" s="17" t="e">
        <f t="shared" si="70"/>
        <v>#REF!</v>
      </c>
    </row>
    <row r="187" spans="1:30" ht="12.75" hidden="1" outlineLevel="2">
      <c r="A187" s="14" t="s">
        <v>355</v>
      </c>
      <c r="B187" s="15" t="s">
        <v>298</v>
      </c>
      <c r="C187" s="15" t="s">
        <v>299</v>
      </c>
      <c r="D187" s="15" t="s">
        <v>17</v>
      </c>
      <c r="E187" s="15" t="s">
        <v>137</v>
      </c>
      <c r="F187" s="16" t="e">
        <f t="shared" si="89"/>
        <v>#REF!</v>
      </c>
      <c r="G187" s="16" t="e">
        <f t="shared" si="88"/>
        <v>#REF!</v>
      </c>
      <c r="H187" s="16"/>
      <c r="I187" s="16"/>
      <c r="K187" s="17" t="e">
        <f t="shared" ca="1" si="68"/>
        <v>#NAME?</v>
      </c>
      <c r="L187" s="18">
        <v>0</v>
      </c>
      <c r="M187" s="19" t="e">
        <f t="shared" ca="1" si="87"/>
        <v>#NAME?</v>
      </c>
      <c r="N187" s="17" t="e">
        <f t="shared" si="70"/>
        <v>#REF!</v>
      </c>
    </row>
    <row r="188" spans="1:30" ht="12.75" hidden="1" outlineLevel="2">
      <c r="A188" s="14" t="s">
        <v>356</v>
      </c>
      <c r="B188" s="15" t="s">
        <v>300</v>
      </c>
      <c r="C188" s="15" t="s">
        <v>301</v>
      </c>
      <c r="D188" s="15" t="s">
        <v>17</v>
      </c>
      <c r="E188" s="15" t="s">
        <v>137</v>
      </c>
      <c r="F188" s="16" t="e">
        <f t="shared" si="89"/>
        <v>#REF!</v>
      </c>
      <c r="G188" s="16" t="e">
        <f t="shared" si="88"/>
        <v>#REF!</v>
      </c>
      <c r="H188" s="16"/>
      <c r="I188" s="16"/>
      <c r="K188" s="17" t="e">
        <f t="shared" ca="1" si="68"/>
        <v>#NAME?</v>
      </c>
      <c r="L188" s="18">
        <v>0</v>
      </c>
      <c r="M188" s="19" t="e">
        <f t="shared" ca="1" si="87"/>
        <v>#NAME?</v>
      </c>
      <c r="N188" s="17" t="e">
        <f t="shared" si="70"/>
        <v>#REF!</v>
      </c>
    </row>
    <row r="189" spans="1:30" ht="12.75" hidden="1" outlineLevel="2">
      <c r="A189" s="14" t="s">
        <v>357</v>
      </c>
      <c r="B189" s="15" t="s">
        <v>302</v>
      </c>
      <c r="C189" s="15" t="s">
        <v>303</v>
      </c>
      <c r="D189" s="15" t="s">
        <v>17</v>
      </c>
      <c r="E189" s="15" t="s">
        <v>137</v>
      </c>
      <c r="F189" s="16" t="e">
        <f t="shared" si="89"/>
        <v>#REF!</v>
      </c>
      <c r="G189" s="16" t="e">
        <f t="shared" si="88"/>
        <v>#REF!</v>
      </c>
      <c r="H189" s="16"/>
      <c r="I189" s="16"/>
      <c r="K189" s="17" t="e">
        <f t="shared" ca="1" si="68"/>
        <v>#NAME?</v>
      </c>
      <c r="L189" s="18">
        <v>0</v>
      </c>
      <c r="M189" s="19" t="e">
        <f t="shared" ca="1" si="87"/>
        <v>#NAME?</v>
      </c>
      <c r="N189" s="17" t="e">
        <f t="shared" si="70"/>
        <v>#REF!</v>
      </c>
    </row>
    <row r="190" spans="1:30" ht="12.75">
      <c r="A190" s="49"/>
      <c r="F190" s="16"/>
      <c r="G190" s="16"/>
      <c r="H190" s="16"/>
      <c r="I190" s="16"/>
      <c r="L190" s="19"/>
      <c r="M190" s="19"/>
    </row>
    <row r="191" spans="1:30" ht="12.75">
      <c r="A191" s="49"/>
      <c r="F191" s="16"/>
      <c r="G191" s="16"/>
      <c r="H191" s="16"/>
      <c r="I191" s="16"/>
      <c r="L191" s="19"/>
      <c r="M191" s="19"/>
    </row>
    <row r="192" spans="1:30" ht="12.75">
      <c r="A192" s="49"/>
      <c r="F192" s="16"/>
      <c r="G192" s="16"/>
      <c r="H192" s="16"/>
      <c r="I192" s="16"/>
      <c r="L192" s="19"/>
      <c r="M192" s="19"/>
    </row>
    <row r="193" spans="1:13" ht="12.75">
      <c r="A193" s="49"/>
      <c r="F193" s="16"/>
      <c r="G193" s="16"/>
      <c r="H193" s="16"/>
      <c r="I193" s="16"/>
      <c r="L193" s="19"/>
      <c r="M193" s="19"/>
    </row>
    <row r="194" spans="1:13" ht="12.75">
      <c r="A194" s="49"/>
      <c r="F194" s="16"/>
      <c r="G194" s="16"/>
      <c r="H194" s="16"/>
      <c r="I194" s="16"/>
      <c r="L194" s="19"/>
      <c r="M194" s="19"/>
    </row>
    <row r="195" spans="1:13" ht="12.75">
      <c r="A195" s="49"/>
      <c r="F195" s="16"/>
      <c r="G195" s="16"/>
      <c r="H195" s="16"/>
      <c r="I195" s="16"/>
      <c r="L195" s="19"/>
      <c r="M195" s="19"/>
    </row>
    <row r="196" spans="1:13" ht="12.75">
      <c r="A196" s="49"/>
      <c r="F196" s="16"/>
      <c r="G196" s="16"/>
      <c r="H196" s="16"/>
      <c r="I196" s="16"/>
      <c r="L196" s="19"/>
      <c r="M196" s="19"/>
    </row>
    <row r="197" spans="1:13" ht="12.75">
      <c r="A197" s="49"/>
      <c r="F197" s="16"/>
      <c r="G197" s="16"/>
      <c r="H197" s="16"/>
      <c r="I197" s="16"/>
      <c r="L197" s="19"/>
      <c r="M197" s="19"/>
    </row>
    <row r="198" spans="1:13" ht="12.75">
      <c r="A198" s="49"/>
      <c r="F198" s="16"/>
      <c r="G198" s="16"/>
      <c r="H198" s="16"/>
      <c r="I198" s="16"/>
      <c r="L198" s="19"/>
      <c r="M198" s="19"/>
    </row>
    <row r="199" spans="1:13" ht="12.75">
      <c r="A199" s="49"/>
      <c r="F199" s="16"/>
      <c r="G199" s="16"/>
      <c r="H199" s="16"/>
      <c r="I199" s="16"/>
      <c r="L199" s="19"/>
      <c r="M199" s="19"/>
    </row>
    <row r="200" spans="1:13" ht="12.75">
      <c r="A200" s="49"/>
      <c r="F200" s="16"/>
      <c r="G200" s="16"/>
      <c r="H200" s="16"/>
      <c r="I200" s="16"/>
      <c r="L200" s="19"/>
      <c r="M200" s="19"/>
    </row>
    <row r="201" spans="1:13" ht="12.75">
      <c r="A201" s="49"/>
      <c r="F201" s="16"/>
      <c r="G201" s="16"/>
      <c r="H201" s="16"/>
      <c r="I201" s="16"/>
      <c r="L201" s="19"/>
      <c r="M201" s="19"/>
    </row>
    <row r="202" spans="1:13" ht="12.75">
      <c r="A202" s="49"/>
      <c r="F202" s="16"/>
      <c r="G202" s="16"/>
      <c r="H202" s="16"/>
      <c r="I202" s="16"/>
      <c r="L202" s="19"/>
      <c r="M202" s="19"/>
    </row>
    <row r="203" spans="1:13" ht="12.75">
      <c r="A203" s="49"/>
      <c r="F203" s="16"/>
      <c r="G203" s="16"/>
      <c r="H203" s="16"/>
      <c r="I203" s="16"/>
      <c r="L203" s="19"/>
      <c r="M203" s="19"/>
    </row>
    <row r="204" spans="1:13" ht="12.75">
      <c r="A204" s="49"/>
      <c r="F204" s="16"/>
      <c r="G204" s="16"/>
      <c r="H204" s="16"/>
      <c r="I204" s="16"/>
      <c r="L204" s="19"/>
      <c r="M204" s="19"/>
    </row>
    <row r="205" spans="1:13" ht="12.75">
      <c r="A205" s="49"/>
      <c r="F205" s="16"/>
      <c r="G205" s="16"/>
      <c r="H205" s="16"/>
      <c r="I205" s="16"/>
      <c r="L205" s="19"/>
      <c r="M205" s="19"/>
    </row>
    <row r="206" spans="1:13" ht="12.75">
      <c r="A206" s="49"/>
      <c r="F206" s="16"/>
      <c r="G206" s="16"/>
      <c r="H206" s="16"/>
      <c r="I206" s="16"/>
      <c r="L206" s="19"/>
      <c r="M206" s="19"/>
    </row>
    <row r="207" spans="1:13" ht="12.75">
      <c r="A207" s="49"/>
      <c r="F207" s="16"/>
      <c r="G207" s="16"/>
      <c r="H207" s="16"/>
      <c r="I207" s="16"/>
      <c r="L207" s="19"/>
      <c r="M207" s="19"/>
    </row>
    <row r="208" spans="1:13" ht="12.75">
      <c r="A208" s="49"/>
      <c r="F208" s="16"/>
      <c r="G208" s="16"/>
      <c r="H208" s="16"/>
      <c r="I208" s="16"/>
      <c r="L208" s="19"/>
      <c r="M208" s="19"/>
    </row>
    <row r="209" spans="1:13" ht="12.75">
      <c r="A209" s="49"/>
      <c r="F209" s="16"/>
      <c r="G209" s="16"/>
      <c r="H209" s="16"/>
      <c r="I209" s="16"/>
      <c r="L209" s="19"/>
      <c r="M209" s="19"/>
    </row>
    <row r="210" spans="1:13" ht="12.75">
      <c r="A210" s="49"/>
      <c r="F210" s="16"/>
      <c r="G210" s="16"/>
      <c r="H210" s="16"/>
      <c r="I210" s="16"/>
      <c r="L210" s="19"/>
      <c r="M210" s="19"/>
    </row>
    <row r="211" spans="1:13" ht="12.75">
      <c r="A211" s="49"/>
      <c r="F211" s="16"/>
      <c r="G211" s="16"/>
      <c r="H211" s="16"/>
      <c r="I211" s="16"/>
      <c r="L211" s="19"/>
      <c r="M211" s="19"/>
    </row>
    <row r="212" spans="1:13" ht="12.75">
      <c r="A212" s="49"/>
      <c r="F212" s="16"/>
      <c r="G212" s="16"/>
      <c r="H212" s="16"/>
      <c r="I212" s="16"/>
      <c r="L212" s="19"/>
      <c r="M212" s="19"/>
    </row>
    <row r="213" spans="1:13" ht="12.75">
      <c r="A213" s="49"/>
      <c r="F213" s="16"/>
      <c r="G213" s="16"/>
      <c r="H213" s="16"/>
      <c r="I213" s="16"/>
      <c r="L213" s="19"/>
      <c r="M213" s="19"/>
    </row>
    <row r="214" spans="1:13" ht="12.75">
      <c r="A214" s="49"/>
      <c r="F214" s="16"/>
      <c r="G214" s="16"/>
      <c r="H214" s="16"/>
      <c r="I214" s="16"/>
      <c r="L214" s="19"/>
      <c r="M214" s="19"/>
    </row>
    <row r="215" spans="1:13" ht="12.75">
      <c r="A215" s="49"/>
      <c r="F215" s="16"/>
      <c r="G215" s="16"/>
      <c r="H215" s="16"/>
      <c r="I215" s="16"/>
      <c r="L215" s="19"/>
      <c r="M215" s="19"/>
    </row>
    <row r="216" spans="1:13" ht="12.75">
      <c r="A216" s="49"/>
      <c r="F216" s="16"/>
      <c r="G216" s="16"/>
      <c r="H216" s="16"/>
      <c r="I216" s="16"/>
      <c r="L216" s="19"/>
      <c r="M216" s="19"/>
    </row>
    <row r="217" spans="1:13" ht="12.75">
      <c r="A217" s="49"/>
      <c r="F217" s="16"/>
      <c r="G217" s="16"/>
      <c r="H217" s="16"/>
      <c r="I217" s="16"/>
      <c r="L217" s="19"/>
      <c r="M217" s="19"/>
    </row>
    <row r="218" spans="1:13" ht="12.75">
      <c r="A218" s="49"/>
      <c r="F218" s="16"/>
      <c r="G218" s="16"/>
      <c r="H218" s="16"/>
      <c r="I218" s="16"/>
      <c r="L218" s="19"/>
      <c r="M218" s="19"/>
    </row>
    <row r="219" spans="1:13" ht="12.75">
      <c r="A219" s="49"/>
      <c r="F219" s="16"/>
      <c r="G219" s="16"/>
      <c r="H219" s="16"/>
      <c r="I219" s="16"/>
      <c r="L219" s="19"/>
      <c r="M219" s="19"/>
    </row>
    <row r="220" spans="1:13" ht="12.75">
      <c r="A220" s="49"/>
      <c r="F220" s="16"/>
      <c r="G220" s="16"/>
      <c r="H220" s="16"/>
      <c r="I220" s="16"/>
      <c r="L220" s="19"/>
      <c r="M220" s="19"/>
    </row>
    <row r="221" spans="1:13" ht="12.75">
      <c r="A221" s="49"/>
      <c r="F221" s="16"/>
      <c r="G221" s="16"/>
      <c r="H221" s="16"/>
      <c r="I221" s="16"/>
      <c r="L221" s="19"/>
      <c r="M221" s="19"/>
    </row>
    <row r="222" spans="1:13" ht="12.75">
      <c r="A222" s="49"/>
      <c r="F222" s="16"/>
      <c r="G222" s="16"/>
      <c r="H222" s="16"/>
      <c r="I222" s="16"/>
      <c r="L222" s="19"/>
      <c r="M222" s="19"/>
    </row>
    <row r="223" spans="1:13" ht="12.75">
      <c r="A223" s="49"/>
      <c r="F223" s="16"/>
      <c r="G223" s="16"/>
      <c r="H223" s="16"/>
      <c r="I223" s="16"/>
      <c r="L223" s="19"/>
      <c r="M223" s="19"/>
    </row>
    <row r="224" spans="1:13" ht="12.75">
      <c r="A224" s="49"/>
      <c r="F224" s="16"/>
      <c r="G224" s="16"/>
      <c r="H224" s="16"/>
      <c r="I224" s="16"/>
      <c r="L224" s="19"/>
      <c r="M224" s="19"/>
    </row>
    <row r="225" spans="1:13" ht="12.75">
      <c r="A225" s="49"/>
      <c r="F225" s="16"/>
      <c r="G225" s="16"/>
      <c r="H225" s="16"/>
      <c r="I225" s="16"/>
      <c r="L225" s="19"/>
      <c r="M225" s="19"/>
    </row>
    <row r="226" spans="1:13" ht="12.75">
      <c r="A226" s="49"/>
      <c r="F226" s="16"/>
      <c r="G226" s="16"/>
      <c r="H226" s="16"/>
      <c r="I226" s="16"/>
      <c r="L226" s="19"/>
      <c r="M226" s="19"/>
    </row>
    <row r="227" spans="1:13" ht="12.75">
      <c r="A227" s="49"/>
      <c r="F227" s="16"/>
      <c r="G227" s="16"/>
      <c r="H227" s="16"/>
      <c r="I227" s="16"/>
      <c r="L227" s="19"/>
      <c r="M227" s="19"/>
    </row>
    <row r="228" spans="1:13" ht="12.75">
      <c r="A228" s="49"/>
      <c r="F228" s="16"/>
      <c r="G228" s="16"/>
      <c r="H228" s="16"/>
      <c r="I228" s="16"/>
      <c r="L228" s="19"/>
      <c r="M228" s="19"/>
    </row>
    <row r="229" spans="1:13" ht="12.75">
      <c r="A229" s="49"/>
      <c r="F229" s="16"/>
      <c r="G229" s="16"/>
      <c r="H229" s="16"/>
      <c r="I229" s="16"/>
      <c r="L229" s="19"/>
      <c r="M229" s="19"/>
    </row>
    <row r="230" spans="1:13" ht="12.75">
      <c r="A230" s="49"/>
      <c r="F230" s="16"/>
      <c r="G230" s="16"/>
      <c r="H230" s="16"/>
      <c r="I230" s="16"/>
      <c r="L230" s="19"/>
      <c r="M230" s="19"/>
    </row>
    <row r="231" spans="1:13" ht="12.75">
      <c r="A231" s="49"/>
      <c r="F231" s="16"/>
      <c r="G231" s="16"/>
      <c r="H231" s="16"/>
      <c r="I231" s="16"/>
      <c r="L231" s="19"/>
      <c r="M231" s="19"/>
    </row>
    <row r="232" spans="1:13" ht="12.75">
      <c r="A232" s="49"/>
      <c r="F232" s="16"/>
      <c r="G232" s="16"/>
      <c r="H232" s="16"/>
      <c r="I232" s="16"/>
      <c r="L232" s="19"/>
      <c r="M232" s="19"/>
    </row>
    <row r="233" spans="1:13" ht="12.75">
      <c r="A233" s="49"/>
      <c r="F233" s="16"/>
      <c r="G233" s="16"/>
      <c r="H233" s="16"/>
      <c r="I233" s="16"/>
      <c r="L233" s="19"/>
      <c r="M233" s="19"/>
    </row>
    <row r="234" spans="1:13" ht="12.75">
      <c r="A234" s="49"/>
      <c r="F234" s="16"/>
      <c r="G234" s="16"/>
      <c r="H234" s="16"/>
      <c r="I234" s="16"/>
      <c r="L234" s="19"/>
      <c r="M234" s="19"/>
    </row>
    <row r="235" spans="1:13" ht="12.75">
      <c r="A235" s="49"/>
      <c r="F235" s="16"/>
      <c r="G235" s="16"/>
      <c r="H235" s="16"/>
      <c r="I235" s="16"/>
      <c r="L235" s="19"/>
      <c r="M235" s="19"/>
    </row>
    <row r="236" spans="1:13" ht="12.75">
      <c r="A236" s="49"/>
      <c r="F236" s="16"/>
      <c r="G236" s="16"/>
      <c r="H236" s="16"/>
      <c r="I236" s="16"/>
      <c r="L236" s="19"/>
      <c r="M236" s="19"/>
    </row>
    <row r="237" spans="1:13" ht="12.75">
      <c r="A237" s="49"/>
      <c r="F237" s="16"/>
      <c r="G237" s="16"/>
      <c r="H237" s="16"/>
      <c r="I237" s="16"/>
      <c r="L237" s="19"/>
      <c r="M237" s="19"/>
    </row>
    <row r="238" spans="1:13" ht="12.75">
      <c r="A238" s="49"/>
      <c r="F238" s="16"/>
      <c r="G238" s="16"/>
      <c r="H238" s="16"/>
      <c r="I238" s="16"/>
      <c r="L238" s="19"/>
      <c r="M238" s="19"/>
    </row>
    <row r="239" spans="1:13" ht="12.75">
      <c r="A239" s="49"/>
      <c r="F239" s="16"/>
      <c r="G239" s="16"/>
      <c r="H239" s="16"/>
      <c r="I239" s="16"/>
      <c r="L239" s="19"/>
      <c r="M239" s="19"/>
    </row>
    <row r="240" spans="1:13" ht="12.75">
      <c r="A240" s="49"/>
      <c r="F240" s="16"/>
      <c r="G240" s="16"/>
      <c r="H240" s="16"/>
      <c r="I240" s="16"/>
      <c r="L240" s="19"/>
      <c r="M240" s="19"/>
    </row>
    <row r="241" spans="1:13" ht="12.75">
      <c r="A241" s="49"/>
      <c r="F241" s="16"/>
      <c r="G241" s="16"/>
      <c r="H241" s="16"/>
      <c r="I241" s="16"/>
      <c r="L241" s="19"/>
      <c r="M241" s="19"/>
    </row>
    <row r="242" spans="1:13" ht="12.75">
      <c r="A242" s="49"/>
      <c r="F242" s="16"/>
      <c r="G242" s="16"/>
      <c r="H242" s="16"/>
      <c r="I242" s="16"/>
      <c r="L242" s="19"/>
      <c r="M242" s="19"/>
    </row>
    <row r="243" spans="1:13" ht="12.75">
      <c r="A243" s="49"/>
      <c r="F243" s="16"/>
      <c r="G243" s="16"/>
      <c r="H243" s="16"/>
      <c r="I243" s="16"/>
      <c r="L243" s="19"/>
      <c r="M243" s="19"/>
    </row>
    <row r="244" spans="1:13" ht="12.75">
      <c r="A244" s="49"/>
      <c r="F244" s="16"/>
      <c r="G244" s="16"/>
      <c r="H244" s="16"/>
      <c r="I244" s="16"/>
      <c r="L244" s="19"/>
      <c r="M244" s="19"/>
    </row>
    <row r="245" spans="1:13" ht="12.75">
      <c r="A245" s="49"/>
      <c r="F245" s="16"/>
      <c r="G245" s="16"/>
      <c r="H245" s="16"/>
      <c r="I245" s="16"/>
      <c r="L245" s="19"/>
      <c r="M245" s="19"/>
    </row>
    <row r="246" spans="1:13" ht="12.75">
      <c r="A246" s="49"/>
      <c r="F246" s="16"/>
      <c r="G246" s="16"/>
      <c r="H246" s="16"/>
      <c r="I246" s="16"/>
      <c r="L246" s="19"/>
      <c r="M246" s="19"/>
    </row>
    <row r="247" spans="1:13" ht="12.75">
      <c r="A247" s="49"/>
      <c r="F247" s="16"/>
      <c r="G247" s="16"/>
      <c r="H247" s="16"/>
      <c r="I247" s="16"/>
      <c r="L247" s="19"/>
      <c r="M247" s="19"/>
    </row>
    <row r="248" spans="1:13" ht="12.75">
      <c r="A248" s="49"/>
      <c r="F248" s="16"/>
      <c r="G248" s="16"/>
      <c r="H248" s="16"/>
      <c r="I248" s="16"/>
      <c r="L248" s="19"/>
      <c r="M248" s="19"/>
    </row>
    <row r="249" spans="1:13" ht="12.75">
      <c r="A249" s="49"/>
      <c r="F249" s="16"/>
      <c r="G249" s="16"/>
      <c r="H249" s="16"/>
      <c r="I249" s="16"/>
      <c r="L249" s="19"/>
      <c r="M249" s="19"/>
    </row>
    <row r="250" spans="1:13" ht="12.75">
      <c r="A250" s="49"/>
      <c r="F250" s="16"/>
      <c r="G250" s="16"/>
      <c r="H250" s="16"/>
      <c r="I250" s="16"/>
      <c r="L250" s="19"/>
      <c r="M250" s="19"/>
    </row>
    <row r="251" spans="1:13" ht="12.75">
      <c r="A251" s="49"/>
      <c r="F251" s="16"/>
      <c r="G251" s="16"/>
      <c r="H251" s="16"/>
      <c r="I251" s="16"/>
      <c r="L251" s="19"/>
      <c r="M251" s="19"/>
    </row>
    <row r="252" spans="1:13" ht="12.75">
      <c r="A252" s="49"/>
      <c r="F252" s="16"/>
      <c r="G252" s="16"/>
      <c r="H252" s="16"/>
      <c r="I252" s="16"/>
      <c r="L252" s="19"/>
      <c r="M252" s="19"/>
    </row>
    <row r="253" spans="1:13" ht="12.75">
      <c r="A253" s="49"/>
      <c r="F253" s="16"/>
      <c r="G253" s="16"/>
      <c r="H253" s="16"/>
      <c r="I253" s="16"/>
      <c r="L253" s="19"/>
      <c r="M253" s="19"/>
    </row>
    <row r="254" spans="1:13" ht="12.75">
      <c r="A254" s="49"/>
      <c r="F254" s="16"/>
      <c r="G254" s="16"/>
      <c r="H254" s="16"/>
      <c r="I254" s="16"/>
      <c r="L254" s="19"/>
      <c r="M254" s="19"/>
    </row>
    <row r="255" spans="1:13" ht="12.75">
      <c r="A255" s="49"/>
      <c r="F255" s="16"/>
      <c r="G255" s="16"/>
      <c r="H255" s="16"/>
      <c r="I255" s="16"/>
      <c r="L255" s="19"/>
      <c r="M255" s="19"/>
    </row>
    <row r="256" spans="1:13" ht="12.75">
      <c r="A256" s="49"/>
      <c r="F256" s="16"/>
      <c r="G256" s="16"/>
      <c r="H256" s="16"/>
      <c r="I256" s="16"/>
      <c r="L256" s="19"/>
      <c r="M256" s="19"/>
    </row>
    <row r="257" spans="1:13" ht="12.75">
      <c r="A257" s="49"/>
      <c r="F257" s="16"/>
      <c r="G257" s="16"/>
      <c r="H257" s="16"/>
      <c r="I257" s="16"/>
      <c r="L257" s="19"/>
      <c r="M257" s="19"/>
    </row>
    <row r="258" spans="1:13" ht="12.75">
      <c r="A258" s="49"/>
      <c r="F258" s="16"/>
      <c r="G258" s="16"/>
      <c r="H258" s="16"/>
      <c r="I258" s="16"/>
      <c r="L258" s="19"/>
      <c r="M258" s="19"/>
    </row>
    <row r="259" spans="1:13" ht="12.75">
      <c r="A259" s="49"/>
      <c r="F259" s="16"/>
      <c r="G259" s="16"/>
      <c r="H259" s="16"/>
      <c r="I259" s="16"/>
      <c r="L259" s="19"/>
      <c r="M259" s="19"/>
    </row>
    <row r="260" spans="1:13" ht="12.75">
      <c r="A260" s="49"/>
      <c r="F260" s="16"/>
      <c r="G260" s="16"/>
      <c r="H260" s="16"/>
      <c r="I260" s="16"/>
      <c r="L260" s="19"/>
      <c r="M260" s="19"/>
    </row>
    <row r="261" spans="1:13" ht="12.75">
      <c r="A261" s="49"/>
      <c r="F261" s="16"/>
      <c r="G261" s="16"/>
      <c r="H261" s="16"/>
      <c r="I261" s="16"/>
      <c r="L261" s="19"/>
      <c r="M261" s="19"/>
    </row>
    <row r="262" spans="1:13" ht="12.75">
      <c r="A262" s="49"/>
      <c r="F262" s="16"/>
      <c r="G262" s="16"/>
      <c r="H262" s="16"/>
      <c r="I262" s="16"/>
      <c r="L262" s="19"/>
      <c r="M262" s="19"/>
    </row>
    <row r="263" spans="1:13" ht="12.75">
      <c r="A263" s="49"/>
      <c r="F263" s="16"/>
      <c r="G263" s="16"/>
      <c r="H263" s="16"/>
      <c r="I263" s="16"/>
      <c r="L263" s="19"/>
      <c r="M263" s="19"/>
    </row>
    <row r="264" spans="1:13" ht="12.75">
      <c r="A264" s="49"/>
      <c r="F264" s="16"/>
      <c r="G264" s="16"/>
      <c r="H264" s="16"/>
      <c r="I264" s="16"/>
      <c r="L264" s="19"/>
      <c r="M264" s="19"/>
    </row>
    <row r="265" spans="1:13" ht="12.75">
      <c r="A265" s="49"/>
      <c r="F265" s="16"/>
      <c r="G265" s="16"/>
      <c r="H265" s="16"/>
      <c r="I265" s="16"/>
      <c r="L265" s="19"/>
      <c r="M265" s="19"/>
    </row>
    <row r="266" spans="1:13" ht="12.75">
      <c r="A266" s="49"/>
      <c r="F266" s="16"/>
      <c r="G266" s="16"/>
      <c r="H266" s="16"/>
      <c r="I266" s="16"/>
      <c r="L266" s="19"/>
      <c r="M266" s="19"/>
    </row>
    <row r="267" spans="1:13" ht="12.75">
      <c r="A267" s="49"/>
      <c r="F267" s="16"/>
      <c r="G267" s="16"/>
      <c r="H267" s="16"/>
      <c r="I267" s="16"/>
      <c r="L267" s="19"/>
      <c r="M267" s="19"/>
    </row>
    <row r="268" spans="1:13" ht="12.75">
      <c r="A268" s="49"/>
      <c r="F268" s="16"/>
      <c r="G268" s="16"/>
      <c r="H268" s="16"/>
      <c r="I268" s="16"/>
      <c r="L268" s="19"/>
      <c r="M268" s="19"/>
    </row>
    <row r="269" spans="1:13" ht="12.75">
      <c r="A269" s="49"/>
      <c r="F269" s="16"/>
      <c r="G269" s="16"/>
      <c r="H269" s="16"/>
      <c r="I269" s="16"/>
      <c r="L269" s="19"/>
      <c r="M269" s="19"/>
    </row>
    <row r="270" spans="1:13" ht="12.75">
      <c r="A270" s="49"/>
      <c r="F270" s="16"/>
      <c r="G270" s="16"/>
      <c r="H270" s="16"/>
      <c r="I270" s="16"/>
      <c r="L270" s="19"/>
      <c r="M270" s="19"/>
    </row>
    <row r="271" spans="1:13" ht="12.75">
      <c r="A271" s="49"/>
      <c r="F271" s="16"/>
      <c r="G271" s="16"/>
      <c r="H271" s="16"/>
      <c r="I271" s="16"/>
      <c r="L271" s="19"/>
      <c r="M271" s="19"/>
    </row>
    <row r="272" spans="1:13" ht="12.75">
      <c r="A272" s="49"/>
      <c r="F272" s="16"/>
      <c r="G272" s="16"/>
      <c r="H272" s="16"/>
      <c r="I272" s="16"/>
      <c r="L272" s="19"/>
      <c r="M272" s="19"/>
    </row>
    <row r="273" spans="1:13" ht="12.75">
      <c r="A273" s="49"/>
      <c r="F273" s="16"/>
      <c r="G273" s="16"/>
      <c r="H273" s="16"/>
      <c r="I273" s="16"/>
      <c r="L273" s="19"/>
      <c r="M273" s="19"/>
    </row>
    <row r="274" spans="1:13" ht="12.75">
      <c r="A274" s="49"/>
      <c r="F274" s="16"/>
      <c r="G274" s="16"/>
      <c r="H274" s="16"/>
      <c r="I274" s="16"/>
      <c r="L274" s="19"/>
      <c r="M274" s="19"/>
    </row>
    <row r="275" spans="1:13" ht="12.75">
      <c r="A275" s="49"/>
      <c r="F275" s="16"/>
      <c r="G275" s="16"/>
      <c r="H275" s="16"/>
      <c r="I275" s="16"/>
      <c r="L275" s="19"/>
      <c r="M275" s="19"/>
    </row>
    <row r="276" spans="1:13" ht="12.75">
      <c r="A276" s="49"/>
      <c r="F276" s="16"/>
      <c r="G276" s="16"/>
      <c r="H276" s="16"/>
      <c r="I276" s="16"/>
      <c r="L276" s="19"/>
      <c r="M276" s="19"/>
    </row>
    <row r="277" spans="1:13" ht="12.75">
      <c r="A277" s="49"/>
      <c r="F277" s="16"/>
      <c r="G277" s="16"/>
      <c r="H277" s="16"/>
      <c r="I277" s="16"/>
      <c r="L277" s="19"/>
      <c r="M277" s="19"/>
    </row>
    <row r="278" spans="1:13" ht="12.75">
      <c r="A278" s="49"/>
      <c r="F278" s="16"/>
      <c r="G278" s="16"/>
      <c r="H278" s="16"/>
      <c r="I278" s="16"/>
      <c r="L278" s="19"/>
      <c r="M278" s="19"/>
    </row>
    <row r="279" spans="1:13" ht="12.75">
      <c r="A279" s="49"/>
      <c r="F279" s="16"/>
      <c r="G279" s="16"/>
      <c r="H279" s="16"/>
      <c r="I279" s="16"/>
      <c r="L279" s="19"/>
      <c r="M279" s="19"/>
    </row>
    <row r="280" spans="1:13" ht="12.75">
      <c r="A280" s="49"/>
      <c r="F280" s="16"/>
      <c r="G280" s="16"/>
      <c r="H280" s="16"/>
      <c r="I280" s="16"/>
      <c r="L280" s="19"/>
      <c r="M280" s="19"/>
    </row>
    <row r="281" spans="1:13" ht="12.75">
      <c r="A281" s="49"/>
      <c r="F281" s="16"/>
      <c r="G281" s="16"/>
      <c r="H281" s="16"/>
      <c r="I281" s="16"/>
      <c r="L281" s="19"/>
      <c r="M281" s="19"/>
    </row>
    <row r="282" spans="1:13" ht="12.75">
      <c r="A282" s="49"/>
      <c r="F282" s="16"/>
      <c r="G282" s="16"/>
      <c r="H282" s="16"/>
      <c r="I282" s="16"/>
      <c r="L282" s="19"/>
      <c r="M282" s="19"/>
    </row>
    <row r="283" spans="1:13" ht="12.75">
      <c r="A283" s="49"/>
      <c r="F283" s="16"/>
      <c r="G283" s="16"/>
      <c r="H283" s="16"/>
      <c r="I283" s="16"/>
      <c r="L283" s="19"/>
      <c r="M283" s="19"/>
    </row>
    <row r="284" spans="1:13" ht="12.75">
      <c r="A284" s="49"/>
      <c r="F284" s="16"/>
      <c r="G284" s="16"/>
      <c r="H284" s="16"/>
      <c r="I284" s="16"/>
      <c r="L284" s="19"/>
      <c r="M284" s="19"/>
    </row>
    <row r="285" spans="1:13" ht="12.75">
      <c r="A285" s="49"/>
      <c r="F285" s="16"/>
      <c r="G285" s="16"/>
      <c r="H285" s="16"/>
      <c r="I285" s="16"/>
      <c r="L285" s="19"/>
      <c r="M285" s="19"/>
    </row>
    <row r="286" spans="1:13" ht="12.75">
      <c r="A286" s="49"/>
      <c r="F286" s="16"/>
      <c r="G286" s="16"/>
      <c r="H286" s="16"/>
      <c r="I286" s="16"/>
      <c r="L286" s="19"/>
      <c r="M286" s="19"/>
    </row>
    <row r="287" spans="1:13" ht="12.75">
      <c r="A287" s="49"/>
      <c r="F287" s="16"/>
      <c r="G287" s="16"/>
      <c r="H287" s="16"/>
      <c r="I287" s="16"/>
      <c r="L287" s="19"/>
      <c r="M287" s="19"/>
    </row>
    <row r="288" spans="1:13" ht="12.75">
      <c r="A288" s="49"/>
      <c r="F288" s="16"/>
      <c r="G288" s="16"/>
      <c r="H288" s="16"/>
      <c r="I288" s="16"/>
      <c r="L288" s="19"/>
      <c r="M288" s="19"/>
    </row>
    <row r="289" spans="1:13" ht="12.75">
      <c r="A289" s="49"/>
      <c r="F289" s="16"/>
      <c r="G289" s="16"/>
      <c r="H289" s="16"/>
      <c r="I289" s="16"/>
      <c r="L289" s="19"/>
      <c r="M289" s="19"/>
    </row>
    <row r="290" spans="1:13" ht="12.75">
      <c r="A290" s="49"/>
      <c r="F290" s="16"/>
      <c r="G290" s="16"/>
      <c r="H290" s="16"/>
      <c r="I290" s="16"/>
      <c r="L290" s="19"/>
      <c r="M290" s="19"/>
    </row>
    <row r="291" spans="1:13" ht="12.75">
      <c r="A291" s="49"/>
      <c r="F291" s="16"/>
      <c r="G291" s="16"/>
      <c r="H291" s="16"/>
      <c r="I291" s="16"/>
      <c r="L291" s="19"/>
      <c r="M291" s="19"/>
    </row>
    <row r="292" spans="1:13" ht="12.75">
      <c r="A292" s="49"/>
      <c r="F292" s="16"/>
      <c r="G292" s="16"/>
      <c r="H292" s="16"/>
      <c r="I292" s="16"/>
      <c r="L292" s="19"/>
      <c r="M292" s="19"/>
    </row>
    <row r="293" spans="1:13" ht="12.75">
      <c r="A293" s="49"/>
      <c r="F293" s="16"/>
      <c r="G293" s="16"/>
      <c r="H293" s="16"/>
      <c r="I293" s="16"/>
      <c r="L293" s="19"/>
      <c r="M293" s="19"/>
    </row>
    <row r="294" spans="1:13" ht="12.75">
      <c r="A294" s="49"/>
      <c r="F294" s="16"/>
      <c r="G294" s="16"/>
      <c r="H294" s="16"/>
      <c r="I294" s="16"/>
      <c r="L294" s="19"/>
      <c r="M294" s="19"/>
    </row>
    <row r="295" spans="1:13" ht="12.75">
      <c r="A295" s="49"/>
      <c r="F295" s="16"/>
      <c r="G295" s="16"/>
      <c r="H295" s="16"/>
      <c r="I295" s="16"/>
      <c r="L295" s="19"/>
      <c r="M295" s="19"/>
    </row>
    <row r="296" spans="1:13" ht="12.75">
      <c r="A296" s="49"/>
      <c r="F296" s="16"/>
      <c r="G296" s="16"/>
      <c r="H296" s="16"/>
      <c r="I296" s="16"/>
      <c r="L296" s="19"/>
      <c r="M296" s="19"/>
    </row>
    <row r="297" spans="1:13" ht="12.75">
      <c r="A297" s="49"/>
      <c r="F297" s="16"/>
      <c r="G297" s="16"/>
      <c r="H297" s="16"/>
      <c r="I297" s="16"/>
      <c r="L297" s="19"/>
      <c r="M297" s="19"/>
    </row>
    <row r="298" spans="1:13" ht="12.75">
      <c r="A298" s="49"/>
      <c r="F298" s="16"/>
      <c r="G298" s="16"/>
      <c r="H298" s="16"/>
      <c r="I298" s="16"/>
      <c r="L298" s="19"/>
      <c r="M298" s="19"/>
    </row>
    <row r="299" spans="1:13" ht="12.75">
      <c r="A299" s="49"/>
      <c r="F299" s="16"/>
      <c r="G299" s="16"/>
      <c r="H299" s="16"/>
      <c r="I299" s="16"/>
      <c r="L299" s="19"/>
      <c r="M299" s="19"/>
    </row>
    <row r="300" spans="1:13" ht="12.75">
      <c r="A300" s="49"/>
      <c r="F300" s="16"/>
      <c r="G300" s="16"/>
      <c r="H300" s="16"/>
      <c r="I300" s="16"/>
      <c r="L300" s="19"/>
      <c r="M300" s="19"/>
    </row>
    <row r="301" spans="1:13" ht="12.75">
      <c r="A301" s="49"/>
      <c r="F301" s="16"/>
      <c r="G301" s="16"/>
      <c r="H301" s="16"/>
      <c r="I301" s="16"/>
      <c r="L301" s="19"/>
      <c r="M301" s="19"/>
    </row>
    <row r="302" spans="1:13" ht="12.75">
      <c r="A302" s="49"/>
      <c r="F302" s="16"/>
      <c r="G302" s="16"/>
      <c r="H302" s="16"/>
      <c r="I302" s="16"/>
      <c r="L302" s="19"/>
      <c r="M302" s="19"/>
    </row>
    <row r="303" spans="1:13" ht="12.75">
      <c r="A303" s="49"/>
      <c r="F303" s="16"/>
      <c r="G303" s="16"/>
      <c r="H303" s="16"/>
      <c r="I303" s="16"/>
      <c r="L303" s="19"/>
      <c r="M303" s="19"/>
    </row>
    <row r="304" spans="1:13" ht="12.75">
      <c r="A304" s="49"/>
      <c r="F304" s="16"/>
      <c r="G304" s="16"/>
      <c r="H304" s="16"/>
      <c r="I304" s="16"/>
      <c r="L304" s="19"/>
      <c r="M304" s="19"/>
    </row>
    <row r="305" spans="1:13" ht="12.75">
      <c r="A305" s="49"/>
      <c r="F305" s="16"/>
      <c r="G305" s="16"/>
      <c r="H305" s="16"/>
      <c r="I305" s="16"/>
      <c r="L305" s="19"/>
      <c r="M305" s="19"/>
    </row>
    <row r="306" spans="1:13" ht="12.75">
      <c r="A306" s="49"/>
      <c r="F306" s="16"/>
      <c r="G306" s="16"/>
      <c r="H306" s="16"/>
      <c r="I306" s="16"/>
      <c r="L306" s="19"/>
      <c r="M306" s="19"/>
    </row>
    <row r="307" spans="1:13" ht="12.75">
      <c r="A307" s="49"/>
      <c r="F307" s="16"/>
      <c r="G307" s="16"/>
      <c r="H307" s="16"/>
      <c r="I307" s="16"/>
      <c r="L307" s="19"/>
      <c r="M307" s="19"/>
    </row>
    <row r="308" spans="1:13" ht="12.75">
      <c r="A308" s="49"/>
      <c r="F308" s="16"/>
      <c r="G308" s="16"/>
      <c r="H308" s="16"/>
      <c r="I308" s="16"/>
      <c r="L308" s="19"/>
      <c r="M308" s="19"/>
    </row>
    <row r="309" spans="1:13" ht="12.75">
      <c r="A309" s="49"/>
      <c r="F309" s="16"/>
      <c r="G309" s="16"/>
      <c r="H309" s="16"/>
      <c r="I309" s="16"/>
      <c r="L309" s="19"/>
      <c r="M309" s="19"/>
    </row>
    <row r="310" spans="1:13" ht="12.75">
      <c r="A310" s="49"/>
      <c r="F310" s="16"/>
      <c r="G310" s="16"/>
      <c r="H310" s="16"/>
      <c r="I310" s="16"/>
      <c r="L310" s="19"/>
      <c r="M310" s="19"/>
    </row>
    <row r="311" spans="1:13" ht="12.75">
      <c r="A311" s="49"/>
      <c r="F311" s="16"/>
      <c r="G311" s="16"/>
      <c r="H311" s="16"/>
      <c r="I311" s="16"/>
      <c r="L311" s="19"/>
      <c r="M311" s="19"/>
    </row>
    <row r="312" spans="1:13" ht="12.75">
      <c r="A312" s="49"/>
      <c r="F312" s="16"/>
      <c r="G312" s="16"/>
      <c r="H312" s="16"/>
      <c r="I312" s="16"/>
      <c r="L312" s="19"/>
      <c r="M312" s="19"/>
    </row>
    <row r="313" spans="1:13" ht="12.75">
      <c r="A313" s="49"/>
      <c r="F313" s="16"/>
      <c r="G313" s="16"/>
      <c r="H313" s="16"/>
      <c r="I313" s="16"/>
      <c r="L313" s="19"/>
      <c r="M313" s="19"/>
    </row>
    <row r="314" spans="1:13" ht="12.75">
      <c r="A314" s="49"/>
      <c r="F314" s="16"/>
      <c r="G314" s="16"/>
      <c r="H314" s="16"/>
      <c r="I314" s="16"/>
      <c r="L314" s="19"/>
      <c r="M314" s="19"/>
    </row>
    <row r="315" spans="1:13" ht="12.75">
      <c r="A315" s="49"/>
      <c r="F315" s="16"/>
      <c r="G315" s="16"/>
      <c r="H315" s="16"/>
      <c r="I315" s="16"/>
      <c r="L315" s="19"/>
      <c r="M315" s="19"/>
    </row>
    <row r="316" spans="1:13" ht="12.75">
      <c r="A316" s="49"/>
      <c r="F316" s="16"/>
      <c r="G316" s="16"/>
      <c r="H316" s="16"/>
      <c r="I316" s="16"/>
      <c r="L316" s="19"/>
      <c r="M316" s="19"/>
    </row>
    <row r="317" spans="1:13" ht="12.75">
      <c r="A317" s="49"/>
      <c r="F317" s="16"/>
      <c r="G317" s="16"/>
      <c r="H317" s="16"/>
      <c r="I317" s="16"/>
      <c r="L317" s="19"/>
      <c r="M317" s="19"/>
    </row>
    <row r="318" spans="1:13" ht="12.75">
      <c r="A318" s="49"/>
      <c r="F318" s="16"/>
      <c r="G318" s="16"/>
      <c r="H318" s="16"/>
      <c r="I318" s="16"/>
      <c r="L318" s="19"/>
      <c r="M318" s="19"/>
    </row>
    <row r="319" spans="1:13" ht="12.75">
      <c r="A319" s="49"/>
      <c r="F319" s="16"/>
      <c r="G319" s="16"/>
      <c r="H319" s="16"/>
      <c r="I319" s="16"/>
      <c r="L319" s="19"/>
      <c r="M319" s="19"/>
    </row>
    <row r="320" spans="1:13" ht="12.75">
      <c r="A320" s="49"/>
      <c r="F320" s="16"/>
      <c r="G320" s="16"/>
      <c r="H320" s="16"/>
      <c r="I320" s="16"/>
      <c r="L320" s="19"/>
      <c r="M320" s="19"/>
    </row>
    <row r="321" spans="1:13" ht="12.75">
      <c r="A321" s="49"/>
      <c r="F321" s="16"/>
      <c r="G321" s="16"/>
      <c r="H321" s="16"/>
      <c r="I321" s="16"/>
      <c r="L321" s="19"/>
      <c r="M321" s="19"/>
    </row>
    <row r="322" spans="1:13" ht="12.75">
      <c r="A322" s="49"/>
      <c r="F322" s="16"/>
      <c r="G322" s="16"/>
      <c r="H322" s="16"/>
      <c r="I322" s="16"/>
      <c r="L322" s="19"/>
      <c r="M322" s="19"/>
    </row>
    <row r="323" spans="1:13" ht="12.75">
      <c r="A323" s="49"/>
      <c r="F323" s="16"/>
      <c r="G323" s="16"/>
      <c r="H323" s="16"/>
      <c r="I323" s="16"/>
      <c r="L323" s="19"/>
      <c r="M323" s="19"/>
    </row>
    <row r="324" spans="1:13" ht="12.75">
      <c r="A324" s="49"/>
      <c r="F324" s="16"/>
      <c r="G324" s="16"/>
      <c r="H324" s="16"/>
      <c r="I324" s="16"/>
      <c r="L324" s="19"/>
      <c r="M324" s="19"/>
    </row>
    <row r="325" spans="1:13" ht="12.75">
      <c r="A325" s="49"/>
      <c r="F325" s="16"/>
      <c r="G325" s="16"/>
      <c r="H325" s="16"/>
      <c r="I325" s="16"/>
      <c r="L325" s="19"/>
      <c r="M325" s="19"/>
    </row>
    <row r="326" spans="1:13" ht="12.75">
      <c r="A326" s="49"/>
      <c r="F326" s="16"/>
      <c r="G326" s="16"/>
      <c r="H326" s="16"/>
      <c r="I326" s="16"/>
      <c r="L326" s="19"/>
      <c r="M326" s="19"/>
    </row>
    <row r="327" spans="1:13" ht="12.75">
      <c r="A327" s="49"/>
      <c r="F327" s="16"/>
      <c r="G327" s="16"/>
      <c r="H327" s="16"/>
      <c r="I327" s="16"/>
      <c r="L327" s="19"/>
      <c r="M327" s="19"/>
    </row>
    <row r="328" spans="1:13" ht="12.75">
      <c r="A328" s="49"/>
      <c r="F328" s="16"/>
      <c r="G328" s="16"/>
      <c r="H328" s="16"/>
      <c r="I328" s="16"/>
      <c r="L328" s="19"/>
      <c r="M328" s="19"/>
    </row>
    <row r="329" spans="1:13" ht="12.75">
      <c r="A329" s="49"/>
      <c r="F329" s="16"/>
      <c r="G329" s="16"/>
      <c r="H329" s="16"/>
      <c r="I329" s="16"/>
      <c r="L329" s="19"/>
      <c r="M329" s="19"/>
    </row>
    <row r="330" spans="1:13" ht="12.75">
      <c r="A330" s="49"/>
      <c r="F330" s="16"/>
      <c r="G330" s="16"/>
      <c r="H330" s="16"/>
      <c r="I330" s="16"/>
      <c r="L330" s="19"/>
      <c r="M330" s="19"/>
    </row>
    <row r="331" spans="1:13" ht="12.75">
      <c r="A331" s="49"/>
      <c r="F331" s="16"/>
      <c r="G331" s="16"/>
      <c r="H331" s="16"/>
      <c r="I331" s="16"/>
      <c r="L331" s="19"/>
      <c r="M331" s="19"/>
    </row>
    <row r="332" spans="1:13" ht="12.75">
      <c r="A332" s="49"/>
      <c r="F332" s="16"/>
      <c r="G332" s="16"/>
      <c r="H332" s="16"/>
      <c r="I332" s="16"/>
      <c r="L332" s="19"/>
      <c r="M332" s="19"/>
    </row>
    <row r="333" spans="1:13" ht="12.75">
      <c r="A333" s="49"/>
      <c r="F333" s="16"/>
      <c r="G333" s="16"/>
      <c r="H333" s="16"/>
      <c r="I333" s="16"/>
      <c r="L333" s="19"/>
      <c r="M333" s="19"/>
    </row>
    <row r="334" spans="1:13" ht="12.75">
      <c r="A334" s="49"/>
      <c r="F334" s="16"/>
      <c r="G334" s="16"/>
      <c r="H334" s="16"/>
      <c r="I334" s="16"/>
      <c r="L334" s="19"/>
      <c r="M334" s="19"/>
    </row>
    <row r="335" spans="1:13" ht="12.75">
      <c r="A335" s="49"/>
      <c r="F335" s="16"/>
      <c r="G335" s="16"/>
      <c r="H335" s="16"/>
      <c r="I335" s="16"/>
      <c r="L335" s="19"/>
      <c r="M335" s="19"/>
    </row>
    <row r="336" spans="1:13" ht="12.75">
      <c r="A336" s="49"/>
      <c r="F336" s="16"/>
      <c r="G336" s="16"/>
      <c r="H336" s="16"/>
      <c r="I336" s="16"/>
      <c r="L336" s="19"/>
      <c r="M336" s="19"/>
    </row>
    <row r="337" spans="1:13" ht="12.75">
      <c r="A337" s="49"/>
      <c r="F337" s="16"/>
      <c r="G337" s="16"/>
      <c r="H337" s="16"/>
      <c r="I337" s="16"/>
      <c r="L337" s="19"/>
      <c r="M337" s="19"/>
    </row>
    <row r="338" spans="1:13" ht="12.75">
      <c r="A338" s="49"/>
      <c r="F338" s="16"/>
      <c r="G338" s="16"/>
      <c r="H338" s="16"/>
      <c r="I338" s="16"/>
      <c r="L338" s="19"/>
      <c r="M338" s="19"/>
    </row>
    <row r="339" spans="1:13" ht="12.75">
      <c r="A339" s="49"/>
      <c r="F339" s="16"/>
      <c r="G339" s="16"/>
      <c r="H339" s="16"/>
      <c r="I339" s="16"/>
      <c r="L339" s="19"/>
      <c r="M339" s="19"/>
    </row>
    <row r="340" spans="1:13" ht="12.75">
      <c r="A340" s="49"/>
      <c r="F340" s="16"/>
      <c r="G340" s="16"/>
      <c r="H340" s="16"/>
      <c r="I340" s="16"/>
      <c r="L340" s="19"/>
      <c r="M340" s="19"/>
    </row>
    <row r="341" spans="1:13" ht="12.75">
      <c r="A341" s="49"/>
      <c r="F341" s="16"/>
      <c r="G341" s="16"/>
      <c r="H341" s="16"/>
      <c r="I341" s="16"/>
      <c r="L341" s="19"/>
      <c r="M341" s="19"/>
    </row>
    <row r="342" spans="1:13" ht="12.75">
      <c r="A342" s="49"/>
      <c r="F342" s="16"/>
      <c r="G342" s="16"/>
      <c r="H342" s="16"/>
      <c r="I342" s="16"/>
      <c r="L342" s="19"/>
      <c r="M342" s="19"/>
    </row>
    <row r="343" spans="1:13" ht="12.75">
      <c r="A343" s="49"/>
      <c r="F343" s="16"/>
      <c r="G343" s="16"/>
      <c r="H343" s="16"/>
      <c r="I343" s="16"/>
      <c r="L343" s="19"/>
      <c r="M343" s="19"/>
    </row>
    <row r="344" spans="1:13" ht="12.75">
      <c r="A344" s="49"/>
      <c r="F344" s="16"/>
      <c r="G344" s="16"/>
      <c r="H344" s="16"/>
      <c r="I344" s="16"/>
      <c r="L344" s="19"/>
      <c r="M344" s="19"/>
    </row>
    <row r="345" spans="1:13" ht="12.75">
      <c r="A345" s="49"/>
      <c r="F345" s="16"/>
      <c r="G345" s="16"/>
      <c r="H345" s="16"/>
      <c r="I345" s="16"/>
      <c r="L345" s="19"/>
      <c r="M345" s="19"/>
    </row>
    <row r="346" spans="1:13" ht="12.75">
      <c r="A346" s="49"/>
      <c r="F346" s="16"/>
      <c r="G346" s="16"/>
      <c r="H346" s="16"/>
      <c r="I346" s="16"/>
      <c r="L346" s="19"/>
      <c r="M346" s="19"/>
    </row>
    <row r="347" spans="1:13" ht="12.75">
      <c r="A347" s="49"/>
      <c r="F347" s="16"/>
      <c r="G347" s="16"/>
      <c r="H347" s="16"/>
      <c r="I347" s="16"/>
      <c r="L347" s="19"/>
      <c r="M347" s="19"/>
    </row>
    <row r="348" spans="1:13" ht="12.75">
      <c r="A348" s="49"/>
      <c r="F348" s="16"/>
      <c r="G348" s="16"/>
      <c r="H348" s="16"/>
      <c r="I348" s="16"/>
      <c r="L348" s="19"/>
      <c r="M348" s="19"/>
    </row>
    <row r="349" spans="1:13" ht="12.75">
      <c r="A349" s="49"/>
      <c r="F349" s="16"/>
      <c r="G349" s="16"/>
      <c r="H349" s="16"/>
      <c r="I349" s="16"/>
      <c r="L349" s="19"/>
      <c r="M349" s="19"/>
    </row>
    <row r="350" spans="1:13" ht="12.75">
      <c r="A350" s="49"/>
      <c r="F350" s="16"/>
      <c r="G350" s="16"/>
      <c r="H350" s="16"/>
      <c r="I350" s="16"/>
      <c r="L350" s="19"/>
      <c r="M350" s="19"/>
    </row>
    <row r="351" spans="1:13" ht="12.75">
      <c r="A351" s="49"/>
      <c r="F351" s="16"/>
      <c r="G351" s="16"/>
      <c r="H351" s="16"/>
      <c r="I351" s="16"/>
      <c r="L351" s="19"/>
      <c r="M351" s="19"/>
    </row>
    <row r="352" spans="1:13" ht="12.75">
      <c r="A352" s="49"/>
      <c r="F352" s="16"/>
      <c r="G352" s="16"/>
      <c r="H352" s="16"/>
      <c r="I352" s="16"/>
      <c r="L352" s="19"/>
      <c r="M352" s="19"/>
    </row>
    <row r="353" spans="1:13" ht="12.75">
      <c r="A353" s="49"/>
      <c r="F353" s="16"/>
      <c r="G353" s="16"/>
      <c r="H353" s="16"/>
      <c r="I353" s="16"/>
      <c r="L353" s="19"/>
      <c r="M353" s="19"/>
    </row>
    <row r="354" spans="1:13" ht="12.75">
      <c r="A354" s="49"/>
      <c r="F354" s="16"/>
      <c r="G354" s="16"/>
      <c r="H354" s="16"/>
      <c r="I354" s="16"/>
      <c r="L354" s="19"/>
      <c r="M354" s="19"/>
    </row>
    <row r="355" spans="1:13" ht="12.75">
      <c r="A355" s="49"/>
      <c r="F355" s="16"/>
      <c r="G355" s="16"/>
      <c r="H355" s="16"/>
      <c r="I355" s="16"/>
      <c r="L355" s="19"/>
      <c r="M355" s="19"/>
    </row>
    <row r="356" spans="1:13" ht="12.75">
      <c r="A356" s="49"/>
      <c r="F356" s="16"/>
      <c r="G356" s="16"/>
      <c r="H356" s="16"/>
      <c r="I356" s="16"/>
      <c r="L356" s="19"/>
      <c r="M356" s="19"/>
    </row>
    <row r="357" spans="1:13" ht="12.75">
      <c r="A357" s="49"/>
      <c r="F357" s="16"/>
      <c r="G357" s="16"/>
      <c r="H357" s="16"/>
      <c r="I357" s="16"/>
      <c r="L357" s="19"/>
      <c r="M357" s="19"/>
    </row>
    <row r="358" spans="1:13" ht="12.75">
      <c r="A358" s="49"/>
      <c r="F358" s="16"/>
      <c r="G358" s="16"/>
      <c r="H358" s="16"/>
      <c r="I358" s="16"/>
      <c r="L358" s="19"/>
      <c r="M358" s="19"/>
    </row>
    <row r="359" spans="1:13" ht="12.75">
      <c r="A359" s="49"/>
      <c r="F359" s="16"/>
      <c r="G359" s="16"/>
      <c r="H359" s="16"/>
      <c r="I359" s="16"/>
      <c r="L359" s="19"/>
      <c r="M359" s="19"/>
    </row>
    <row r="360" spans="1:13" ht="12.75">
      <c r="A360" s="49"/>
      <c r="F360" s="16"/>
      <c r="G360" s="16"/>
      <c r="H360" s="16"/>
      <c r="I360" s="16"/>
      <c r="L360" s="19"/>
      <c r="M360" s="19"/>
    </row>
    <row r="361" spans="1:13" ht="12.75">
      <c r="A361" s="49"/>
      <c r="F361" s="16"/>
      <c r="G361" s="16"/>
      <c r="H361" s="16"/>
      <c r="I361" s="16"/>
      <c r="L361" s="19"/>
      <c r="M361" s="19"/>
    </row>
    <row r="362" spans="1:13" ht="12.75">
      <c r="A362" s="49"/>
      <c r="F362" s="16"/>
      <c r="G362" s="16"/>
      <c r="H362" s="16"/>
      <c r="I362" s="16"/>
      <c r="L362" s="19"/>
      <c r="M362" s="19"/>
    </row>
    <row r="363" spans="1:13" ht="12.75">
      <c r="A363" s="49"/>
      <c r="F363" s="16"/>
      <c r="G363" s="16"/>
      <c r="H363" s="16"/>
      <c r="I363" s="16"/>
      <c r="L363" s="19"/>
      <c r="M363" s="19"/>
    </row>
    <row r="364" spans="1:13" ht="12.75">
      <c r="A364" s="49"/>
      <c r="F364" s="16"/>
      <c r="G364" s="16"/>
      <c r="H364" s="16"/>
      <c r="I364" s="16"/>
      <c r="L364" s="19"/>
      <c r="M364" s="19"/>
    </row>
    <row r="365" spans="1:13" ht="12.75">
      <c r="A365" s="49"/>
      <c r="F365" s="16"/>
      <c r="G365" s="16"/>
      <c r="H365" s="16"/>
      <c r="I365" s="16"/>
      <c r="L365" s="19"/>
      <c r="M365" s="19"/>
    </row>
    <row r="366" spans="1:13" ht="12.75">
      <c r="A366" s="49"/>
      <c r="F366" s="16"/>
      <c r="G366" s="16"/>
      <c r="H366" s="16"/>
      <c r="I366" s="16"/>
      <c r="L366" s="19"/>
      <c r="M366" s="19"/>
    </row>
    <row r="367" spans="1:13" ht="12.75">
      <c r="A367" s="49"/>
      <c r="F367" s="16"/>
      <c r="G367" s="16"/>
      <c r="H367" s="16"/>
      <c r="I367" s="16"/>
      <c r="L367" s="19"/>
      <c r="M367" s="19"/>
    </row>
  </sheetData>
  <customSheetViews>
    <customSheetView guid="{2DBF9552-D01A-44B9-BE3A-9C709FE3F225}" filter="1" showAutoFilter="1">
      <pageMargins left="0.7" right="0.7" top="0.75" bottom="0.75" header="0.3" footer="0.3"/>
      <autoFilter ref="A1:AD813"/>
    </customSheetView>
    <customSheetView guid="{8E7B3813-634E-4634-AEEE-F15B9AE49455}" filter="1" showAutoFilter="1">
      <pageMargins left="0.7" right="0.7" top="0.75" bottom="0.75" header="0.3" footer="0.3"/>
      <autoFilter ref="A1:AD813">
        <filterColumn colId="3">
          <filters>
            <filter val="HOST - Zulma Penagos"/>
          </filters>
        </filterColumn>
      </autoFilter>
    </customSheetView>
    <customSheetView guid="{294F79D7-C651-4C10-841E-13DE912AF696}" filter="1" showAutoFilter="1">
      <pageMargins left="0.7" right="0.7" top="0.75" bottom="0.75" header="0.3" footer="0.3"/>
      <autoFilter ref="A1:AD813"/>
    </customSheetView>
    <customSheetView guid="{2AD40DEB-FF9B-4833-B846-D70E80EC1C8E}" filter="1" showAutoFilter="1">
      <pageMargins left="0.7" right="0.7" top="0.75" bottom="0.75" header="0.3" footer="0.3"/>
      <autoFilter ref="A87:AD813"/>
    </customSheetView>
  </customSheetViews>
  <conditionalFormatting sqref="K2:K367">
    <cfRule type="containsText" dxfId="4" priority="1" operator="containsText" text="Finalizada">
      <formula>NOT(ISERROR(SEARCH(("Finalizada"),(K2))))</formula>
    </cfRule>
  </conditionalFormatting>
  <conditionalFormatting sqref="K2:K367">
    <cfRule type="containsText" dxfId="3" priority="2" operator="containsText" text="Sin Iniciar">
      <formula>NOT(ISERROR(SEARCH(("Sin Iniciar"),(K2))))</formula>
    </cfRule>
  </conditionalFormatting>
  <conditionalFormatting sqref="K2:K367">
    <cfRule type="containsText" dxfId="2" priority="3" operator="containsText" text="A Tiempo">
      <formula>NOT(ISERROR(SEARCH(("A Tiempo"),(K2))))</formula>
    </cfRule>
  </conditionalFormatting>
  <conditionalFormatting sqref="K2:K367">
    <cfRule type="containsText" dxfId="1" priority="4" operator="containsText" text="Impactada">
      <formula>NOT(ISERROR(SEARCH(("Impactada"),(K2))))</formula>
    </cfRule>
  </conditionalFormatting>
  <conditionalFormatting sqref="K2:K367">
    <cfRule type="containsText" dxfId="0" priority="5" operator="containsText" text="Atrasada">
      <formula>NOT(ISERROR(SEARCH(("Atrasada"),(K2))))</formula>
    </cfRule>
  </conditionalFormatting>
  <dataValidations count="4">
    <dataValidation type="custom" allowBlank="1" showDropDown="1" showInputMessage="1" showErrorMessage="1" prompt="La Actividad no puede terminar sin haber iniciado" sqref="J165">
      <formula1>J165&gt;=H165</formula1>
    </dataValidation>
    <dataValidation type="custom" allowBlank="1" showDropDown="1" showInputMessage="1" showErrorMessage="1" prompt="La Actividad no puede terminar sin haber iniciado" sqref="G3:G7 G9:G31 G34:G76 G80 I2:I80 G82 G84 G86 G88:G99 G101:G114 G161:G367 I166:I367 I87:I164 G116:G159">
      <formula1>G2&gt;=F2</formula1>
    </dataValidation>
    <dataValidation type="date" operator="greaterThan" allowBlank="1" showDropDown="1" showInputMessage="1" showErrorMessage="1" prompt="Introduce una fecha. después del 10/2022" sqref="F2:G2">
      <formula1>44835</formula1>
    </dataValidation>
    <dataValidation type="list" allowBlank="1" showInputMessage="1" showErrorMessage="1" prompt="Haz clic e introduce un valor de intervalo Equipo!H2:H27" sqref="E136:E189">
      <formula1>$L$2:$L$30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Haz clic e introduce un valor de intervalo Equipo!H2:H27">
          <x14:formula1>
            <xm:f>Equipo!#REF!</xm:f>
          </x14:formula1>
          <xm:sqref>E2:E135</xm:sqref>
        </x14:dataValidation>
        <x14:dataValidation type="list" allowBlank="1" showInputMessage="1" showErrorMessage="1" prompt="Haz clic e introduce un valor de intervalo Equipo!D2:D27">
          <x14:formula1>
            <xm:f>Equipo!$E$2:$E$18</xm:f>
          </x14:formula1>
          <xm:sqref>D2:D189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91"/>
  <sheetViews>
    <sheetView workbookViewId="0">
      <selection activeCell="E10" sqref="E10"/>
    </sheetView>
  </sheetViews>
  <sheetFormatPr baseColWidth="10" defaultColWidth="12.5703125" defaultRowHeight="15.75" customHeight="1"/>
  <cols>
    <col min="2" max="2" width="15.5703125" customWidth="1"/>
    <col min="3" max="4" width="28" customWidth="1"/>
    <col min="5" max="5" width="25" customWidth="1"/>
    <col min="12" max="13" width="18" customWidth="1"/>
  </cols>
  <sheetData>
    <row r="1" spans="1:13" ht="15.75" customHeight="1">
      <c r="A1" s="50" t="s">
        <v>358</v>
      </c>
      <c r="B1" s="50" t="s">
        <v>359</v>
      </c>
      <c r="C1" s="51" t="s">
        <v>360</v>
      </c>
      <c r="D1" s="50" t="s">
        <v>361</v>
      </c>
      <c r="E1" s="50" t="s">
        <v>362</v>
      </c>
      <c r="F1" s="51" t="s">
        <v>363</v>
      </c>
      <c r="G1" s="51" t="s">
        <v>364</v>
      </c>
      <c r="H1" s="51" t="s">
        <v>365</v>
      </c>
      <c r="I1" s="51" t="s">
        <v>366</v>
      </c>
      <c r="J1" s="50" t="s">
        <v>367</v>
      </c>
      <c r="L1" s="50" t="s">
        <v>4</v>
      </c>
      <c r="M1" s="51" t="s">
        <v>368</v>
      </c>
    </row>
    <row r="2" spans="1:13" ht="12.75">
      <c r="A2" s="52" t="s">
        <v>374</v>
      </c>
      <c r="B2" s="52"/>
      <c r="C2" s="53"/>
      <c r="D2" s="53"/>
      <c r="E2" s="53" t="str">
        <f t="shared" ref="E2:E6" si="0">CONCATENATE(A2," - ",B2)</f>
        <v xml:space="preserve">EQ Scrum - </v>
      </c>
      <c r="F2" s="53"/>
      <c r="G2" s="54"/>
      <c r="H2" s="54"/>
      <c r="I2" s="53"/>
      <c r="J2" s="53"/>
    </row>
    <row r="3" spans="1:13" ht="12.75">
      <c r="A3" s="52" t="s">
        <v>369</v>
      </c>
      <c r="B3" s="52" t="s">
        <v>370</v>
      </c>
      <c r="C3" s="53"/>
      <c r="D3" s="53"/>
      <c r="E3" s="53" t="str">
        <f t="shared" si="0"/>
        <v>LT - Ronald Romero</v>
      </c>
      <c r="F3" s="53"/>
      <c r="G3" s="54"/>
      <c r="H3" s="54"/>
      <c r="I3" s="53"/>
      <c r="J3" s="53"/>
    </row>
    <row r="4" spans="1:13" ht="12.75">
      <c r="A4" s="52" t="s">
        <v>371</v>
      </c>
      <c r="B4" s="52"/>
      <c r="C4" s="53"/>
      <c r="D4" s="53"/>
      <c r="E4" s="53" t="str">
        <f t="shared" si="0"/>
        <v xml:space="preserve">PO - </v>
      </c>
      <c r="F4" s="53"/>
      <c r="G4" s="54"/>
      <c r="H4" s="54"/>
      <c r="I4" s="53"/>
      <c r="J4" s="53"/>
    </row>
    <row r="5" spans="1:13" ht="12.75">
      <c r="A5" s="52" t="s">
        <v>372</v>
      </c>
      <c r="B5" s="52"/>
      <c r="C5" s="53"/>
      <c r="D5" s="53"/>
      <c r="E5" s="53" t="str">
        <f t="shared" si="0"/>
        <v xml:space="preserve">AQ - </v>
      </c>
      <c r="F5" s="52"/>
      <c r="G5" s="54"/>
      <c r="H5" s="54"/>
      <c r="I5" s="53"/>
      <c r="J5" s="53"/>
    </row>
    <row r="6" spans="1:13" ht="12.75">
      <c r="A6" s="52" t="s">
        <v>373</v>
      </c>
      <c r="B6" s="52"/>
      <c r="C6" s="53"/>
      <c r="D6" s="53"/>
      <c r="E6" s="53" t="str">
        <f t="shared" si="0"/>
        <v xml:space="preserve">SM - </v>
      </c>
      <c r="F6" s="52"/>
      <c r="G6" s="54"/>
      <c r="H6" s="54"/>
      <c r="I6" s="53"/>
      <c r="J6" s="53"/>
    </row>
    <row r="7" spans="1:13" ht="12.75">
      <c r="A7" s="53"/>
      <c r="B7" s="53"/>
      <c r="C7" s="53"/>
      <c r="D7" s="53"/>
      <c r="E7" s="53"/>
      <c r="G7" s="55"/>
      <c r="H7" s="55"/>
    </row>
    <row r="8" spans="1:13" ht="12.75">
      <c r="A8" s="53"/>
      <c r="B8" s="53"/>
      <c r="C8" s="53"/>
      <c r="D8" s="53"/>
      <c r="E8" s="53"/>
      <c r="G8" s="55"/>
      <c r="H8" s="55"/>
    </row>
    <row r="9" spans="1:13" ht="12.75">
      <c r="A9" s="53"/>
      <c r="B9" s="53"/>
      <c r="C9" s="53"/>
      <c r="D9" s="53"/>
      <c r="E9" s="53"/>
      <c r="G9" s="55"/>
      <c r="H9" s="55"/>
    </row>
    <row r="10" spans="1:13" ht="12.75">
      <c r="A10" s="52"/>
      <c r="B10" s="52"/>
      <c r="C10" s="53"/>
      <c r="D10" s="53"/>
      <c r="E10" s="53"/>
      <c r="G10" s="55"/>
      <c r="H10" s="55"/>
    </row>
    <row r="11" spans="1:13" ht="12.75">
      <c r="A11" s="52"/>
      <c r="B11" s="52"/>
      <c r="C11" s="52"/>
      <c r="D11" s="52"/>
      <c r="E11" s="53"/>
      <c r="G11" s="55"/>
      <c r="H11" s="55"/>
    </row>
    <row r="12" spans="1:13" ht="12.75">
      <c r="A12" s="52"/>
      <c r="B12" s="52"/>
      <c r="C12" s="53"/>
      <c r="D12" s="53"/>
      <c r="E12" s="53"/>
      <c r="G12" s="55"/>
      <c r="H12" s="55"/>
    </row>
    <row r="13" spans="1:13" ht="12.75">
      <c r="A13" s="52"/>
      <c r="B13" s="52"/>
      <c r="C13" s="53"/>
      <c r="D13" s="53"/>
      <c r="E13" s="53"/>
      <c r="G13" s="55"/>
      <c r="H13" s="55"/>
    </row>
    <row r="14" spans="1:13" ht="12.75">
      <c r="A14" s="52"/>
      <c r="B14" s="52"/>
      <c r="C14" s="53"/>
      <c r="D14" s="53"/>
      <c r="E14" s="53"/>
      <c r="G14" s="55"/>
      <c r="H14" s="55"/>
    </row>
    <row r="15" spans="1:13" ht="12.75">
      <c r="A15" s="53"/>
      <c r="B15" s="53"/>
      <c r="C15" s="53"/>
      <c r="D15" s="53"/>
      <c r="E15" s="53"/>
      <c r="G15" s="55"/>
      <c r="H15" s="55"/>
    </row>
    <row r="16" spans="1:13" ht="12.75">
      <c r="A16" s="53"/>
      <c r="B16" s="53"/>
      <c r="C16" s="53"/>
      <c r="D16" s="53"/>
      <c r="E16" s="53"/>
      <c r="G16" s="55"/>
      <c r="H16" s="55"/>
    </row>
    <row r="17" spans="1:8" ht="12.75">
      <c r="A17" s="53"/>
      <c r="B17" s="53"/>
      <c r="C17" s="53"/>
      <c r="D17" s="53"/>
      <c r="E17" s="53"/>
      <c r="G17" s="55"/>
      <c r="H17" s="55"/>
    </row>
    <row r="18" spans="1:8" ht="12.75">
      <c r="A18" s="53"/>
      <c r="B18" s="53"/>
      <c r="C18" s="53"/>
      <c r="D18" s="53"/>
      <c r="E18" s="53"/>
      <c r="G18" s="55"/>
      <c r="H18" s="55"/>
    </row>
    <row r="19" spans="1:8" ht="12.75">
      <c r="G19" s="55"/>
      <c r="H19" s="55"/>
    </row>
    <row r="20" spans="1:8" ht="12.75">
      <c r="G20" s="55"/>
      <c r="H20" s="55"/>
    </row>
    <row r="21" spans="1:8" ht="12.75">
      <c r="G21" s="55"/>
      <c r="H21" s="55"/>
    </row>
    <row r="22" spans="1:8" ht="12.75">
      <c r="G22" s="55"/>
      <c r="H22" s="55"/>
    </row>
    <row r="23" spans="1:8" ht="12.75">
      <c r="G23" s="55"/>
      <c r="H23" s="55"/>
    </row>
    <row r="24" spans="1:8" ht="12.75">
      <c r="G24" s="55"/>
      <c r="H24" s="55"/>
    </row>
    <row r="25" spans="1:8" ht="12.75">
      <c r="G25" s="55"/>
      <c r="H25" s="55"/>
    </row>
    <row r="26" spans="1:8" ht="12.75">
      <c r="G26" s="55"/>
      <c r="H26" s="55"/>
    </row>
    <row r="27" spans="1:8" ht="12.75">
      <c r="G27" s="55"/>
      <c r="H27" s="55"/>
    </row>
    <row r="28" spans="1:8" ht="12.75">
      <c r="G28" s="55"/>
      <c r="H28" s="55"/>
    </row>
    <row r="29" spans="1:8" ht="12.75">
      <c r="G29" s="55"/>
      <c r="H29" s="55"/>
    </row>
    <row r="30" spans="1:8" ht="12.75">
      <c r="G30" s="55"/>
      <c r="H30" s="55"/>
    </row>
    <row r="31" spans="1:8" ht="12.75">
      <c r="G31" s="55"/>
      <c r="H31" s="55"/>
    </row>
    <row r="32" spans="1:8" ht="12.75">
      <c r="G32" s="55"/>
      <c r="H32" s="55"/>
    </row>
    <row r="33" spans="7:8" ht="12.75">
      <c r="G33" s="55"/>
      <c r="H33" s="55"/>
    </row>
    <row r="34" spans="7:8" ht="12.75">
      <c r="G34" s="55"/>
      <c r="H34" s="55"/>
    </row>
    <row r="35" spans="7:8" ht="12.75">
      <c r="G35" s="55"/>
      <c r="H35" s="55"/>
    </row>
    <row r="36" spans="7:8" ht="12.75">
      <c r="G36" s="55"/>
      <c r="H36" s="55"/>
    </row>
    <row r="37" spans="7:8" ht="12.75">
      <c r="G37" s="55"/>
      <c r="H37" s="55"/>
    </row>
    <row r="38" spans="7:8" ht="12.75">
      <c r="G38" s="55"/>
      <c r="H38" s="55"/>
    </row>
    <row r="39" spans="7:8" ht="12.75">
      <c r="G39" s="55"/>
      <c r="H39" s="55"/>
    </row>
    <row r="40" spans="7:8" ht="12.75">
      <c r="G40" s="55"/>
      <c r="H40" s="55"/>
    </row>
    <row r="41" spans="7:8" ht="12.75">
      <c r="G41" s="55"/>
      <c r="H41" s="55"/>
    </row>
    <row r="42" spans="7:8" ht="12.75">
      <c r="G42" s="55"/>
      <c r="H42" s="55"/>
    </row>
    <row r="43" spans="7:8" ht="12.75">
      <c r="G43" s="55"/>
      <c r="H43" s="55"/>
    </row>
    <row r="44" spans="7:8" ht="12.75">
      <c r="G44" s="55"/>
      <c r="H44" s="55"/>
    </row>
    <row r="45" spans="7:8" ht="12.75">
      <c r="G45" s="55"/>
      <c r="H45" s="55"/>
    </row>
    <row r="46" spans="7:8" ht="12.75">
      <c r="G46" s="55"/>
      <c r="H46" s="55"/>
    </row>
    <row r="47" spans="7:8" ht="12.75">
      <c r="G47" s="55"/>
      <c r="H47" s="55"/>
    </row>
    <row r="48" spans="7:8" ht="12.75">
      <c r="G48" s="55"/>
      <c r="H48" s="55"/>
    </row>
    <row r="49" spans="7:8" ht="12.75">
      <c r="G49" s="55"/>
      <c r="H49" s="55"/>
    </row>
    <row r="50" spans="7:8" ht="12.75">
      <c r="G50" s="55"/>
      <c r="H50" s="55"/>
    </row>
    <row r="51" spans="7:8" ht="12.75">
      <c r="G51" s="55"/>
      <c r="H51" s="55"/>
    </row>
    <row r="52" spans="7:8" ht="12.75">
      <c r="G52" s="55"/>
      <c r="H52" s="55"/>
    </row>
    <row r="53" spans="7:8" ht="12.75">
      <c r="G53" s="55"/>
      <c r="H53" s="55"/>
    </row>
    <row r="54" spans="7:8" ht="12.75">
      <c r="G54" s="55"/>
      <c r="H54" s="55"/>
    </row>
    <row r="55" spans="7:8" ht="12.75">
      <c r="G55" s="55"/>
      <c r="H55" s="55"/>
    </row>
    <row r="56" spans="7:8" ht="12.75">
      <c r="G56" s="55"/>
      <c r="H56" s="55"/>
    </row>
    <row r="57" spans="7:8" ht="12.75">
      <c r="G57" s="55"/>
      <c r="H57" s="55"/>
    </row>
    <row r="58" spans="7:8" ht="12.75">
      <c r="G58" s="55"/>
      <c r="H58" s="55"/>
    </row>
    <row r="59" spans="7:8" ht="12.75">
      <c r="G59" s="55"/>
      <c r="H59" s="55"/>
    </row>
    <row r="60" spans="7:8" ht="12.75">
      <c r="G60" s="55"/>
      <c r="H60" s="55"/>
    </row>
    <row r="61" spans="7:8" ht="12.75">
      <c r="G61" s="55"/>
      <c r="H61" s="55"/>
    </row>
    <row r="62" spans="7:8" ht="12.75">
      <c r="G62" s="55"/>
      <c r="H62" s="55"/>
    </row>
    <row r="63" spans="7:8" ht="12.75">
      <c r="G63" s="55"/>
      <c r="H63" s="55"/>
    </row>
    <row r="64" spans="7:8" ht="12.75">
      <c r="G64" s="55"/>
      <c r="H64" s="55"/>
    </row>
    <row r="65" spans="7:8" ht="12.75">
      <c r="G65" s="55"/>
      <c r="H65" s="55"/>
    </row>
    <row r="66" spans="7:8" ht="12.75">
      <c r="G66" s="55"/>
      <c r="H66" s="55"/>
    </row>
    <row r="67" spans="7:8" ht="12.75">
      <c r="G67" s="55"/>
      <c r="H67" s="55"/>
    </row>
    <row r="68" spans="7:8" ht="12.75">
      <c r="G68" s="55"/>
      <c r="H68" s="55"/>
    </row>
    <row r="69" spans="7:8" ht="12.75">
      <c r="G69" s="55"/>
      <c r="H69" s="55"/>
    </row>
    <row r="70" spans="7:8" ht="12.75">
      <c r="G70" s="55"/>
      <c r="H70" s="55"/>
    </row>
    <row r="71" spans="7:8" ht="12.75">
      <c r="G71" s="55"/>
      <c r="H71" s="55"/>
    </row>
    <row r="72" spans="7:8" ht="12.75">
      <c r="G72" s="55"/>
      <c r="H72" s="55"/>
    </row>
    <row r="73" spans="7:8" ht="12.75">
      <c r="G73" s="55"/>
      <c r="H73" s="55"/>
    </row>
    <row r="74" spans="7:8" ht="12.75">
      <c r="G74" s="55"/>
      <c r="H74" s="55"/>
    </row>
    <row r="75" spans="7:8" ht="12.75">
      <c r="G75" s="55"/>
      <c r="H75" s="55"/>
    </row>
    <row r="76" spans="7:8" ht="12.75">
      <c r="G76" s="55"/>
      <c r="H76" s="55"/>
    </row>
    <row r="77" spans="7:8" ht="12.75">
      <c r="G77" s="55"/>
      <c r="H77" s="55"/>
    </row>
    <row r="78" spans="7:8" ht="12.75">
      <c r="G78" s="55"/>
      <c r="H78" s="55"/>
    </row>
    <row r="79" spans="7:8" ht="12.75">
      <c r="G79" s="55"/>
      <c r="H79" s="55"/>
    </row>
    <row r="80" spans="7:8" ht="12.75">
      <c r="G80" s="55"/>
      <c r="H80" s="55"/>
    </row>
    <row r="81" spans="7:8" ht="12.75">
      <c r="G81" s="55"/>
      <c r="H81" s="55"/>
    </row>
    <row r="82" spans="7:8" ht="12.75">
      <c r="G82" s="55"/>
      <c r="H82" s="55"/>
    </row>
    <row r="83" spans="7:8" ht="12.75">
      <c r="G83" s="55"/>
      <c r="H83" s="55"/>
    </row>
    <row r="84" spans="7:8" ht="12.75">
      <c r="G84" s="55"/>
      <c r="H84" s="55"/>
    </row>
    <row r="85" spans="7:8" ht="12.75">
      <c r="G85" s="55"/>
      <c r="H85" s="55"/>
    </row>
    <row r="86" spans="7:8" ht="12.75">
      <c r="G86" s="55"/>
      <c r="H86" s="55"/>
    </row>
    <row r="87" spans="7:8" ht="12.75">
      <c r="G87" s="55"/>
      <c r="H87" s="55"/>
    </row>
    <row r="88" spans="7:8" ht="12.75">
      <c r="G88" s="55"/>
      <c r="H88" s="55"/>
    </row>
    <row r="89" spans="7:8" ht="12.75">
      <c r="G89" s="55"/>
      <c r="H89" s="55"/>
    </row>
    <row r="90" spans="7:8" ht="12.75">
      <c r="G90" s="55"/>
      <c r="H90" s="55"/>
    </row>
    <row r="91" spans="7:8" ht="12.75">
      <c r="G91" s="55"/>
      <c r="H91" s="55"/>
    </row>
    <row r="92" spans="7:8" ht="12.75">
      <c r="G92" s="55"/>
      <c r="H92" s="55"/>
    </row>
    <row r="93" spans="7:8" ht="12.75">
      <c r="G93" s="55"/>
      <c r="H93" s="55"/>
    </row>
    <row r="94" spans="7:8" ht="12.75">
      <c r="G94" s="55"/>
      <c r="H94" s="55"/>
    </row>
    <row r="95" spans="7:8" ht="12.75">
      <c r="G95" s="55"/>
      <c r="H95" s="55"/>
    </row>
    <row r="96" spans="7:8" ht="12.75">
      <c r="G96" s="55"/>
      <c r="H96" s="55"/>
    </row>
    <row r="97" spans="7:8" ht="12.75">
      <c r="G97" s="55"/>
      <c r="H97" s="55"/>
    </row>
    <row r="98" spans="7:8" ht="12.75">
      <c r="G98" s="55"/>
      <c r="H98" s="55"/>
    </row>
    <row r="99" spans="7:8" ht="12.75">
      <c r="G99" s="55"/>
      <c r="H99" s="55"/>
    </row>
    <row r="100" spans="7:8" ht="12.75">
      <c r="G100" s="55"/>
      <c r="H100" s="55"/>
    </row>
    <row r="101" spans="7:8" ht="12.75">
      <c r="G101" s="55"/>
      <c r="H101" s="55"/>
    </row>
    <row r="102" spans="7:8" ht="12.75">
      <c r="G102" s="55"/>
      <c r="H102" s="55"/>
    </row>
    <row r="103" spans="7:8" ht="12.75">
      <c r="G103" s="55"/>
      <c r="H103" s="55"/>
    </row>
    <row r="104" spans="7:8" ht="12.75">
      <c r="G104" s="55"/>
      <c r="H104" s="55"/>
    </row>
    <row r="105" spans="7:8" ht="12.75">
      <c r="G105" s="55"/>
      <c r="H105" s="55"/>
    </row>
    <row r="106" spans="7:8" ht="12.75">
      <c r="G106" s="55"/>
      <c r="H106" s="55"/>
    </row>
    <row r="107" spans="7:8" ht="12.75">
      <c r="G107" s="55"/>
      <c r="H107" s="55"/>
    </row>
    <row r="108" spans="7:8" ht="12.75">
      <c r="G108" s="55"/>
      <c r="H108" s="55"/>
    </row>
    <row r="109" spans="7:8" ht="12.75">
      <c r="G109" s="55"/>
      <c r="H109" s="55"/>
    </row>
    <row r="110" spans="7:8" ht="12.75">
      <c r="G110" s="55"/>
      <c r="H110" s="55"/>
    </row>
    <row r="111" spans="7:8" ht="12.75">
      <c r="G111" s="55"/>
      <c r="H111" s="55"/>
    </row>
    <row r="112" spans="7:8" ht="12.75">
      <c r="G112" s="55"/>
      <c r="H112" s="55"/>
    </row>
    <row r="113" spans="7:8" ht="12.75">
      <c r="G113" s="55"/>
      <c r="H113" s="55"/>
    </row>
    <row r="114" spans="7:8" ht="12.75">
      <c r="G114" s="55"/>
      <c r="H114" s="55"/>
    </row>
    <row r="115" spans="7:8" ht="12.75">
      <c r="G115" s="55"/>
      <c r="H115" s="55"/>
    </row>
    <row r="116" spans="7:8" ht="12.75">
      <c r="G116" s="55"/>
      <c r="H116" s="55"/>
    </row>
    <row r="117" spans="7:8" ht="12.75">
      <c r="G117" s="55"/>
      <c r="H117" s="55"/>
    </row>
    <row r="118" spans="7:8" ht="12.75">
      <c r="G118" s="55"/>
      <c r="H118" s="55"/>
    </row>
    <row r="119" spans="7:8" ht="12.75">
      <c r="G119" s="55"/>
      <c r="H119" s="55"/>
    </row>
    <row r="120" spans="7:8" ht="12.75">
      <c r="G120" s="55"/>
      <c r="H120" s="55"/>
    </row>
    <row r="121" spans="7:8" ht="12.75">
      <c r="G121" s="55"/>
      <c r="H121" s="55"/>
    </row>
    <row r="122" spans="7:8" ht="12.75">
      <c r="G122" s="55"/>
      <c r="H122" s="55"/>
    </row>
    <row r="123" spans="7:8" ht="12.75">
      <c r="G123" s="55"/>
      <c r="H123" s="55"/>
    </row>
    <row r="124" spans="7:8" ht="12.75">
      <c r="G124" s="55"/>
      <c r="H124" s="55"/>
    </row>
    <row r="125" spans="7:8" ht="12.75">
      <c r="G125" s="55"/>
      <c r="H125" s="55"/>
    </row>
    <row r="126" spans="7:8" ht="12.75">
      <c r="G126" s="55"/>
      <c r="H126" s="55"/>
    </row>
    <row r="127" spans="7:8" ht="12.75">
      <c r="G127" s="55"/>
      <c r="H127" s="55"/>
    </row>
    <row r="128" spans="7:8" ht="12.75">
      <c r="G128" s="55"/>
      <c r="H128" s="55"/>
    </row>
    <row r="129" spans="7:8" ht="12.75">
      <c r="G129" s="55"/>
      <c r="H129" s="55"/>
    </row>
    <row r="130" spans="7:8" ht="12.75">
      <c r="G130" s="55"/>
      <c r="H130" s="55"/>
    </row>
    <row r="131" spans="7:8" ht="12.75">
      <c r="G131" s="55"/>
      <c r="H131" s="55"/>
    </row>
    <row r="132" spans="7:8" ht="12.75">
      <c r="G132" s="55"/>
      <c r="H132" s="55"/>
    </row>
    <row r="133" spans="7:8" ht="12.75">
      <c r="G133" s="55"/>
      <c r="H133" s="55"/>
    </row>
    <row r="134" spans="7:8" ht="12.75">
      <c r="G134" s="55"/>
      <c r="H134" s="55"/>
    </row>
    <row r="135" spans="7:8" ht="12.75">
      <c r="G135" s="55"/>
      <c r="H135" s="55"/>
    </row>
    <row r="136" spans="7:8" ht="12.75">
      <c r="G136" s="55"/>
      <c r="H136" s="55"/>
    </row>
    <row r="137" spans="7:8" ht="12.75">
      <c r="G137" s="55"/>
      <c r="H137" s="55"/>
    </row>
    <row r="138" spans="7:8" ht="12.75">
      <c r="G138" s="55"/>
      <c r="H138" s="55"/>
    </row>
    <row r="139" spans="7:8" ht="12.75">
      <c r="G139" s="55"/>
      <c r="H139" s="55"/>
    </row>
    <row r="140" spans="7:8" ht="12.75">
      <c r="G140" s="55"/>
      <c r="H140" s="55"/>
    </row>
    <row r="141" spans="7:8" ht="12.75">
      <c r="G141" s="55"/>
      <c r="H141" s="55"/>
    </row>
    <row r="142" spans="7:8" ht="12.75">
      <c r="G142" s="55"/>
      <c r="H142" s="55"/>
    </row>
    <row r="143" spans="7:8" ht="12.75">
      <c r="G143" s="55"/>
      <c r="H143" s="55"/>
    </row>
    <row r="144" spans="7:8" ht="12.75">
      <c r="G144" s="55"/>
      <c r="H144" s="55"/>
    </row>
    <row r="145" spans="7:8" ht="12.75">
      <c r="G145" s="55"/>
      <c r="H145" s="55"/>
    </row>
    <row r="146" spans="7:8" ht="12.75">
      <c r="G146" s="55"/>
      <c r="H146" s="55"/>
    </row>
    <row r="147" spans="7:8" ht="12.75">
      <c r="G147" s="55"/>
      <c r="H147" s="55"/>
    </row>
    <row r="148" spans="7:8" ht="12.75">
      <c r="G148" s="55"/>
      <c r="H148" s="55"/>
    </row>
    <row r="149" spans="7:8" ht="12.75">
      <c r="G149" s="55"/>
      <c r="H149" s="55"/>
    </row>
    <row r="150" spans="7:8" ht="12.75">
      <c r="G150" s="55"/>
      <c r="H150" s="55"/>
    </row>
    <row r="151" spans="7:8" ht="12.75">
      <c r="G151" s="55"/>
      <c r="H151" s="55"/>
    </row>
    <row r="152" spans="7:8" ht="12.75">
      <c r="G152" s="55"/>
      <c r="H152" s="55"/>
    </row>
    <row r="153" spans="7:8" ht="12.75">
      <c r="G153" s="55"/>
      <c r="H153" s="55"/>
    </row>
    <row r="154" spans="7:8" ht="12.75">
      <c r="G154" s="55"/>
      <c r="H154" s="55"/>
    </row>
    <row r="155" spans="7:8" ht="12.75">
      <c r="G155" s="55"/>
      <c r="H155" s="55"/>
    </row>
    <row r="156" spans="7:8" ht="12.75">
      <c r="G156" s="55"/>
      <c r="H156" s="55"/>
    </row>
    <row r="157" spans="7:8" ht="12.75">
      <c r="G157" s="55"/>
      <c r="H157" s="55"/>
    </row>
    <row r="158" spans="7:8" ht="12.75">
      <c r="G158" s="55"/>
      <c r="H158" s="55"/>
    </row>
    <row r="159" spans="7:8" ht="12.75">
      <c r="G159" s="55"/>
      <c r="H159" s="55"/>
    </row>
    <row r="160" spans="7:8" ht="12.75">
      <c r="G160" s="55"/>
      <c r="H160" s="55"/>
    </row>
    <row r="161" spans="7:8" ht="12.75">
      <c r="G161" s="55"/>
      <c r="H161" s="55"/>
    </row>
    <row r="162" spans="7:8" ht="12.75">
      <c r="G162" s="55"/>
      <c r="H162" s="55"/>
    </row>
    <row r="163" spans="7:8" ht="12.75">
      <c r="G163" s="55"/>
      <c r="H163" s="55"/>
    </row>
    <row r="164" spans="7:8" ht="12.75">
      <c r="G164" s="55"/>
      <c r="H164" s="55"/>
    </row>
    <row r="165" spans="7:8" ht="12.75">
      <c r="G165" s="55"/>
      <c r="H165" s="55"/>
    </row>
    <row r="166" spans="7:8" ht="12.75">
      <c r="G166" s="55"/>
      <c r="H166" s="55"/>
    </row>
    <row r="167" spans="7:8" ht="12.75">
      <c r="G167" s="55"/>
      <c r="H167" s="55"/>
    </row>
    <row r="168" spans="7:8" ht="12.75">
      <c r="G168" s="55"/>
      <c r="H168" s="55"/>
    </row>
    <row r="169" spans="7:8" ht="12.75">
      <c r="G169" s="55"/>
      <c r="H169" s="55"/>
    </row>
    <row r="170" spans="7:8" ht="12.75">
      <c r="G170" s="55"/>
      <c r="H170" s="55"/>
    </row>
    <row r="171" spans="7:8" ht="12.75">
      <c r="G171" s="55"/>
      <c r="H171" s="55"/>
    </row>
    <row r="172" spans="7:8" ht="12.75">
      <c r="G172" s="55"/>
      <c r="H172" s="55"/>
    </row>
    <row r="173" spans="7:8" ht="12.75">
      <c r="G173" s="55"/>
      <c r="H173" s="55"/>
    </row>
    <row r="174" spans="7:8" ht="12.75">
      <c r="G174" s="55"/>
      <c r="H174" s="55"/>
    </row>
    <row r="175" spans="7:8" ht="12.75">
      <c r="G175" s="55"/>
      <c r="H175" s="55"/>
    </row>
    <row r="176" spans="7:8" ht="12.75">
      <c r="G176" s="55"/>
      <c r="H176" s="55"/>
    </row>
    <row r="177" spans="7:8" ht="12.75">
      <c r="G177" s="55"/>
      <c r="H177" s="55"/>
    </row>
    <row r="178" spans="7:8" ht="12.75">
      <c r="G178" s="55"/>
      <c r="H178" s="55"/>
    </row>
    <row r="179" spans="7:8" ht="12.75">
      <c r="G179" s="55"/>
      <c r="H179" s="55"/>
    </row>
    <row r="180" spans="7:8" ht="12.75">
      <c r="G180" s="55"/>
      <c r="H180" s="55"/>
    </row>
    <row r="181" spans="7:8" ht="12.75">
      <c r="G181" s="55"/>
      <c r="H181" s="55"/>
    </row>
    <row r="182" spans="7:8" ht="12.75">
      <c r="G182" s="55"/>
      <c r="H182" s="55"/>
    </row>
    <row r="183" spans="7:8" ht="12.75">
      <c r="G183" s="55"/>
      <c r="H183" s="55"/>
    </row>
    <row r="184" spans="7:8" ht="12.75">
      <c r="G184" s="55"/>
      <c r="H184" s="55"/>
    </row>
    <row r="185" spans="7:8" ht="12.75">
      <c r="G185" s="55"/>
      <c r="H185" s="55"/>
    </row>
    <row r="186" spans="7:8" ht="12.75">
      <c r="G186" s="55"/>
      <c r="H186" s="55"/>
    </row>
    <row r="187" spans="7:8" ht="12.75">
      <c r="G187" s="55"/>
      <c r="H187" s="55"/>
    </row>
    <row r="188" spans="7:8" ht="12.75">
      <c r="G188" s="55"/>
      <c r="H188" s="55"/>
    </row>
    <row r="189" spans="7:8" ht="12.75">
      <c r="G189" s="55"/>
      <c r="H189" s="55"/>
    </row>
    <row r="190" spans="7:8" ht="12.75">
      <c r="G190" s="55"/>
      <c r="H190" s="55"/>
    </row>
    <row r="191" spans="7:8" ht="12.75">
      <c r="G191" s="55"/>
      <c r="H191" s="55"/>
    </row>
    <row r="192" spans="7:8" ht="12.75">
      <c r="G192" s="55"/>
      <c r="H192" s="55"/>
    </row>
    <row r="193" spans="7:8" ht="12.75">
      <c r="G193" s="55"/>
      <c r="H193" s="55"/>
    </row>
    <row r="194" spans="7:8" ht="12.75">
      <c r="G194" s="55"/>
      <c r="H194" s="55"/>
    </row>
    <row r="195" spans="7:8" ht="12.75">
      <c r="G195" s="55"/>
      <c r="H195" s="55"/>
    </row>
    <row r="196" spans="7:8" ht="12.75">
      <c r="G196" s="55"/>
      <c r="H196" s="55"/>
    </row>
    <row r="197" spans="7:8" ht="12.75">
      <c r="G197" s="55"/>
      <c r="H197" s="55"/>
    </row>
    <row r="198" spans="7:8" ht="12.75">
      <c r="G198" s="55"/>
      <c r="H198" s="55"/>
    </row>
    <row r="199" spans="7:8" ht="12.75">
      <c r="G199" s="55"/>
      <c r="H199" s="55"/>
    </row>
    <row r="200" spans="7:8" ht="12.75">
      <c r="G200" s="55"/>
      <c r="H200" s="55"/>
    </row>
    <row r="201" spans="7:8" ht="12.75">
      <c r="G201" s="55"/>
      <c r="H201" s="55"/>
    </row>
    <row r="202" spans="7:8" ht="12.75">
      <c r="G202" s="55"/>
      <c r="H202" s="55"/>
    </row>
    <row r="203" spans="7:8" ht="12.75">
      <c r="G203" s="55"/>
      <c r="H203" s="55"/>
    </row>
    <row r="204" spans="7:8" ht="12.75">
      <c r="G204" s="55"/>
      <c r="H204" s="55"/>
    </row>
    <row r="205" spans="7:8" ht="12.75">
      <c r="G205" s="55"/>
      <c r="H205" s="55"/>
    </row>
    <row r="206" spans="7:8" ht="12.75">
      <c r="G206" s="55"/>
      <c r="H206" s="55"/>
    </row>
    <row r="207" spans="7:8" ht="12.75">
      <c r="G207" s="55"/>
      <c r="H207" s="55"/>
    </row>
    <row r="208" spans="7:8" ht="12.75">
      <c r="G208" s="55"/>
      <c r="H208" s="55"/>
    </row>
    <row r="209" spans="7:8" ht="12.75">
      <c r="G209" s="55"/>
      <c r="H209" s="55"/>
    </row>
    <row r="210" spans="7:8" ht="12.75">
      <c r="G210" s="55"/>
      <c r="H210" s="55"/>
    </row>
    <row r="211" spans="7:8" ht="12.75">
      <c r="G211" s="55"/>
      <c r="H211" s="55"/>
    </row>
    <row r="212" spans="7:8" ht="12.75">
      <c r="G212" s="55"/>
      <c r="H212" s="55"/>
    </row>
    <row r="213" spans="7:8" ht="12.75">
      <c r="G213" s="55"/>
      <c r="H213" s="55"/>
    </row>
    <row r="214" spans="7:8" ht="12.75">
      <c r="G214" s="55"/>
      <c r="H214" s="55"/>
    </row>
    <row r="215" spans="7:8" ht="12.75">
      <c r="G215" s="55"/>
      <c r="H215" s="55"/>
    </row>
    <row r="216" spans="7:8" ht="12.75">
      <c r="G216" s="55"/>
      <c r="H216" s="55"/>
    </row>
    <row r="217" spans="7:8" ht="12.75">
      <c r="G217" s="55"/>
      <c r="H217" s="55"/>
    </row>
    <row r="218" spans="7:8" ht="12.75">
      <c r="G218" s="55"/>
      <c r="H218" s="55"/>
    </row>
    <row r="219" spans="7:8" ht="12.75">
      <c r="G219" s="55"/>
      <c r="H219" s="55"/>
    </row>
    <row r="220" spans="7:8" ht="12.75">
      <c r="G220" s="55"/>
      <c r="H220" s="55"/>
    </row>
    <row r="221" spans="7:8" ht="12.75">
      <c r="G221" s="55"/>
      <c r="H221" s="55"/>
    </row>
    <row r="222" spans="7:8" ht="12.75">
      <c r="G222" s="55"/>
      <c r="H222" s="55"/>
    </row>
    <row r="223" spans="7:8" ht="12.75">
      <c r="G223" s="55"/>
      <c r="H223" s="55"/>
    </row>
    <row r="224" spans="7:8" ht="12.75">
      <c r="G224" s="55"/>
      <c r="H224" s="55"/>
    </row>
    <row r="225" spans="7:8" ht="12.75">
      <c r="G225" s="55"/>
      <c r="H225" s="55"/>
    </row>
    <row r="226" spans="7:8" ht="12.75">
      <c r="G226" s="55"/>
      <c r="H226" s="55"/>
    </row>
    <row r="227" spans="7:8" ht="12.75">
      <c r="G227" s="55"/>
      <c r="H227" s="55"/>
    </row>
    <row r="228" spans="7:8" ht="12.75">
      <c r="G228" s="55"/>
      <c r="H228" s="55"/>
    </row>
    <row r="229" spans="7:8" ht="12.75">
      <c r="G229" s="55"/>
      <c r="H229" s="55"/>
    </row>
    <row r="230" spans="7:8" ht="12.75">
      <c r="G230" s="55"/>
      <c r="H230" s="55"/>
    </row>
    <row r="231" spans="7:8" ht="12.75">
      <c r="G231" s="55"/>
      <c r="H231" s="55"/>
    </row>
    <row r="232" spans="7:8" ht="12.75">
      <c r="G232" s="55"/>
      <c r="H232" s="55"/>
    </row>
    <row r="233" spans="7:8" ht="12.75">
      <c r="G233" s="55"/>
      <c r="H233" s="55"/>
    </row>
    <row r="234" spans="7:8" ht="12.75">
      <c r="G234" s="55"/>
      <c r="H234" s="55"/>
    </row>
    <row r="235" spans="7:8" ht="12.75">
      <c r="G235" s="55"/>
      <c r="H235" s="55"/>
    </row>
    <row r="236" spans="7:8" ht="12.75">
      <c r="G236" s="55"/>
      <c r="H236" s="55"/>
    </row>
    <row r="237" spans="7:8" ht="12.75">
      <c r="G237" s="55"/>
      <c r="H237" s="55"/>
    </row>
    <row r="238" spans="7:8" ht="12.75">
      <c r="G238" s="55"/>
      <c r="H238" s="55"/>
    </row>
    <row r="239" spans="7:8" ht="12.75">
      <c r="G239" s="55"/>
      <c r="H239" s="55"/>
    </row>
    <row r="240" spans="7:8" ht="12.75">
      <c r="G240" s="55"/>
      <c r="H240" s="55"/>
    </row>
    <row r="241" spans="7:8" ht="12.75">
      <c r="G241" s="55"/>
      <c r="H241" s="55"/>
    </row>
    <row r="242" spans="7:8" ht="12.75">
      <c r="G242" s="55"/>
      <c r="H242" s="55"/>
    </row>
    <row r="243" spans="7:8" ht="12.75">
      <c r="G243" s="55"/>
      <c r="H243" s="55"/>
    </row>
    <row r="244" spans="7:8" ht="12.75">
      <c r="G244" s="55"/>
      <c r="H244" s="55"/>
    </row>
    <row r="245" spans="7:8" ht="12.75">
      <c r="G245" s="55"/>
      <c r="H245" s="55"/>
    </row>
    <row r="246" spans="7:8" ht="12.75">
      <c r="G246" s="55"/>
      <c r="H246" s="55"/>
    </row>
    <row r="247" spans="7:8" ht="12.75">
      <c r="G247" s="55"/>
      <c r="H247" s="55"/>
    </row>
    <row r="248" spans="7:8" ht="12.75">
      <c r="G248" s="55"/>
      <c r="H248" s="55"/>
    </row>
    <row r="249" spans="7:8" ht="12.75">
      <c r="G249" s="55"/>
      <c r="H249" s="55"/>
    </row>
    <row r="250" spans="7:8" ht="12.75">
      <c r="G250" s="55"/>
      <c r="H250" s="55"/>
    </row>
    <row r="251" spans="7:8" ht="12.75">
      <c r="G251" s="55"/>
      <c r="H251" s="55"/>
    </row>
    <row r="252" spans="7:8" ht="12.75">
      <c r="G252" s="55"/>
      <c r="H252" s="55"/>
    </row>
    <row r="253" spans="7:8" ht="12.75">
      <c r="G253" s="55"/>
      <c r="H253" s="55"/>
    </row>
    <row r="254" spans="7:8" ht="12.75">
      <c r="G254" s="55"/>
      <c r="H254" s="55"/>
    </row>
    <row r="255" spans="7:8" ht="12.75">
      <c r="G255" s="55"/>
      <c r="H255" s="55"/>
    </row>
    <row r="256" spans="7:8" ht="12.75">
      <c r="G256" s="55"/>
      <c r="H256" s="55"/>
    </row>
    <row r="257" spans="7:8" ht="12.75">
      <c r="G257" s="55"/>
      <c r="H257" s="55"/>
    </row>
    <row r="258" spans="7:8" ht="12.75">
      <c r="G258" s="55"/>
      <c r="H258" s="55"/>
    </row>
    <row r="259" spans="7:8" ht="12.75">
      <c r="G259" s="55"/>
      <c r="H259" s="55"/>
    </row>
    <row r="260" spans="7:8" ht="12.75">
      <c r="G260" s="55"/>
      <c r="H260" s="55"/>
    </row>
    <row r="261" spans="7:8" ht="12.75">
      <c r="G261" s="55"/>
      <c r="H261" s="55"/>
    </row>
    <row r="262" spans="7:8" ht="12.75">
      <c r="G262" s="55"/>
      <c r="H262" s="55"/>
    </row>
    <row r="263" spans="7:8" ht="12.75">
      <c r="G263" s="55"/>
      <c r="H263" s="55"/>
    </row>
    <row r="264" spans="7:8" ht="12.75">
      <c r="G264" s="55"/>
      <c r="H264" s="55"/>
    </row>
    <row r="265" spans="7:8" ht="12.75">
      <c r="G265" s="55"/>
      <c r="H265" s="55"/>
    </row>
    <row r="266" spans="7:8" ht="12.75">
      <c r="G266" s="55"/>
      <c r="H266" s="55"/>
    </row>
    <row r="267" spans="7:8" ht="12.75">
      <c r="G267" s="55"/>
      <c r="H267" s="55"/>
    </row>
    <row r="268" spans="7:8" ht="12.75">
      <c r="G268" s="55"/>
      <c r="H268" s="55"/>
    </row>
    <row r="269" spans="7:8" ht="12.75">
      <c r="G269" s="55"/>
      <c r="H269" s="55"/>
    </row>
    <row r="270" spans="7:8" ht="12.75">
      <c r="G270" s="55"/>
      <c r="H270" s="55"/>
    </row>
    <row r="271" spans="7:8" ht="12.75">
      <c r="G271" s="55"/>
      <c r="H271" s="55"/>
    </row>
    <row r="272" spans="7:8" ht="12.75">
      <c r="G272" s="55"/>
      <c r="H272" s="55"/>
    </row>
    <row r="273" spans="7:8" ht="12.75">
      <c r="G273" s="55"/>
      <c r="H273" s="55"/>
    </row>
    <row r="274" spans="7:8" ht="12.75">
      <c r="G274" s="55"/>
      <c r="H274" s="55"/>
    </row>
    <row r="275" spans="7:8" ht="12.75">
      <c r="G275" s="55"/>
      <c r="H275" s="55"/>
    </row>
    <row r="276" spans="7:8" ht="12.75">
      <c r="G276" s="55"/>
      <c r="H276" s="55"/>
    </row>
    <row r="277" spans="7:8" ht="12.75">
      <c r="G277" s="55"/>
      <c r="H277" s="55"/>
    </row>
    <row r="278" spans="7:8" ht="12.75">
      <c r="G278" s="55"/>
      <c r="H278" s="55"/>
    </row>
    <row r="279" spans="7:8" ht="12.75">
      <c r="G279" s="55"/>
      <c r="H279" s="55"/>
    </row>
    <row r="280" spans="7:8" ht="12.75">
      <c r="G280" s="55"/>
      <c r="H280" s="55"/>
    </row>
    <row r="281" spans="7:8" ht="12.75">
      <c r="G281" s="55"/>
      <c r="H281" s="55"/>
    </row>
    <row r="282" spans="7:8" ht="12.75">
      <c r="G282" s="55"/>
      <c r="H282" s="55"/>
    </row>
    <row r="283" spans="7:8" ht="12.75">
      <c r="G283" s="55"/>
      <c r="H283" s="55"/>
    </row>
    <row r="284" spans="7:8" ht="12.75">
      <c r="G284" s="55"/>
      <c r="H284" s="55"/>
    </row>
    <row r="285" spans="7:8" ht="12.75">
      <c r="G285" s="55"/>
      <c r="H285" s="55"/>
    </row>
    <row r="286" spans="7:8" ht="12.75">
      <c r="G286" s="55"/>
      <c r="H286" s="55"/>
    </row>
    <row r="287" spans="7:8" ht="12.75">
      <c r="G287" s="55"/>
      <c r="H287" s="55"/>
    </row>
    <row r="288" spans="7:8" ht="12.75">
      <c r="G288" s="55"/>
      <c r="H288" s="55"/>
    </row>
    <row r="289" spans="7:8" ht="12.75">
      <c r="G289" s="55"/>
      <c r="H289" s="55"/>
    </row>
    <row r="290" spans="7:8" ht="12.75">
      <c r="G290" s="55"/>
      <c r="H290" s="55"/>
    </row>
    <row r="291" spans="7:8" ht="12.75">
      <c r="G291" s="55"/>
      <c r="H291" s="55"/>
    </row>
    <row r="292" spans="7:8" ht="12.75">
      <c r="G292" s="55"/>
      <c r="H292" s="55"/>
    </row>
    <row r="293" spans="7:8" ht="12.75">
      <c r="G293" s="55"/>
      <c r="H293" s="55"/>
    </row>
    <row r="294" spans="7:8" ht="12.75">
      <c r="G294" s="55"/>
      <c r="H294" s="55"/>
    </row>
    <row r="295" spans="7:8" ht="12.75">
      <c r="G295" s="55"/>
      <c r="H295" s="55"/>
    </row>
    <row r="296" spans="7:8" ht="12.75">
      <c r="G296" s="55"/>
      <c r="H296" s="55"/>
    </row>
    <row r="297" spans="7:8" ht="12.75">
      <c r="G297" s="55"/>
      <c r="H297" s="55"/>
    </row>
    <row r="298" spans="7:8" ht="12.75">
      <c r="G298" s="55"/>
      <c r="H298" s="55"/>
    </row>
    <row r="299" spans="7:8" ht="12.75">
      <c r="G299" s="55"/>
      <c r="H299" s="55"/>
    </row>
    <row r="300" spans="7:8" ht="12.75">
      <c r="G300" s="55"/>
      <c r="H300" s="55"/>
    </row>
    <row r="301" spans="7:8" ht="12.75">
      <c r="G301" s="55"/>
      <c r="H301" s="55"/>
    </row>
    <row r="302" spans="7:8" ht="12.75">
      <c r="G302" s="55"/>
      <c r="H302" s="55"/>
    </row>
    <row r="303" spans="7:8" ht="12.75">
      <c r="G303" s="55"/>
      <c r="H303" s="55"/>
    </row>
    <row r="304" spans="7:8" ht="12.75">
      <c r="G304" s="55"/>
      <c r="H304" s="55"/>
    </row>
    <row r="305" spans="7:8" ht="12.75">
      <c r="G305" s="55"/>
      <c r="H305" s="55"/>
    </row>
    <row r="306" spans="7:8" ht="12.75">
      <c r="G306" s="55"/>
      <c r="H306" s="55"/>
    </row>
    <row r="307" spans="7:8" ht="12.75">
      <c r="G307" s="55"/>
      <c r="H307" s="55"/>
    </row>
    <row r="308" spans="7:8" ht="12.75">
      <c r="G308" s="55"/>
      <c r="H308" s="55"/>
    </row>
    <row r="309" spans="7:8" ht="12.75">
      <c r="G309" s="55"/>
      <c r="H309" s="55"/>
    </row>
    <row r="310" spans="7:8" ht="12.75">
      <c r="G310" s="55"/>
      <c r="H310" s="55"/>
    </row>
    <row r="311" spans="7:8" ht="12.75">
      <c r="G311" s="55"/>
      <c r="H311" s="55"/>
    </row>
    <row r="312" spans="7:8" ht="12.75">
      <c r="G312" s="55"/>
      <c r="H312" s="55"/>
    </row>
    <row r="313" spans="7:8" ht="12.75">
      <c r="G313" s="55"/>
      <c r="H313" s="55"/>
    </row>
    <row r="314" spans="7:8" ht="12.75">
      <c r="G314" s="55"/>
      <c r="H314" s="55"/>
    </row>
    <row r="315" spans="7:8" ht="12.75">
      <c r="G315" s="55"/>
      <c r="H315" s="55"/>
    </row>
    <row r="316" spans="7:8" ht="12.75">
      <c r="G316" s="55"/>
      <c r="H316" s="55"/>
    </row>
    <row r="317" spans="7:8" ht="12.75">
      <c r="G317" s="55"/>
      <c r="H317" s="55"/>
    </row>
    <row r="318" spans="7:8" ht="12.75">
      <c r="G318" s="55"/>
      <c r="H318" s="55"/>
    </row>
    <row r="319" spans="7:8" ht="12.75">
      <c r="G319" s="55"/>
      <c r="H319" s="55"/>
    </row>
    <row r="320" spans="7:8" ht="12.75">
      <c r="G320" s="55"/>
      <c r="H320" s="55"/>
    </row>
    <row r="321" spans="7:8" ht="12.75">
      <c r="G321" s="55"/>
      <c r="H321" s="55"/>
    </row>
    <row r="322" spans="7:8" ht="12.75">
      <c r="G322" s="55"/>
      <c r="H322" s="55"/>
    </row>
    <row r="323" spans="7:8" ht="12.75">
      <c r="G323" s="55"/>
      <c r="H323" s="55"/>
    </row>
    <row r="324" spans="7:8" ht="12.75">
      <c r="G324" s="55"/>
      <c r="H324" s="55"/>
    </row>
    <row r="325" spans="7:8" ht="12.75">
      <c r="G325" s="55"/>
      <c r="H325" s="55"/>
    </row>
    <row r="326" spans="7:8" ht="12.75">
      <c r="G326" s="55"/>
      <c r="H326" s="55"/>
    </row>
    <row r="327" spans="7:8" ht="12.75">
      <c r="G327" s="55"/>
      <c r="H327" s="55"/>
    </row>
    <row r="328" spans="7:8" ht="12.75">
      <c r="G328" s="55"/>
      <c r="H328" s="55"/>
    </row>
    <row r="329" spans="7:8" ht="12.75">
      <c r="G329" s="55"/>
      <c r="H329" s="55"/>
    </row>
    <row r="330" spans="7:8" ht="12.75">
      <c r="G330" s="55"/>
      <c r="H330" s="55"/>
    </row>
    <row r="331" spans="7:8" ht="12.75">
      <c r="G331" s="55"/>
      <c r="H331" s="55"/>
    </row>
    <row r="332" spans="7:8" ht="12.75">
      <c r="G332" s="55"/>
      <c r="H332" s="55"/>
    </row>
    <row r="333" spans="7:8" ht="12.75">
      <c r="G333" s="55"/>
      <c r="H333" s="55"/>
    </row>
    <row r="334" spans="7:8" ht="12.75">
      <c r="G334" s="55"/>
      <c r="H334" s="55"/>
    </row>
    <row r="335" spans="7:8" ht="12.75">
      <c r="G335" s="55"/>
      <c r="H335" s="55"/>
    </row>
    <row r="336" spans="7:8" ht="12.75">
      <c r="G336" s="55"/>
      <c r="H336" s="55"/>
    </row>
    <row r="337" spans="7:8" ht="12.75">
      <c r="G337" s="55"/>
      <c r="H337" s="55"/>
    </row>
    <row r="338" spans="7:8" ht="12.75">
      <c r="G338" s="55"/>
      <c r="H338" s="55"/>
    </row>
    <row r="339" spans="7:8" ht="12.75">
      <c r="G339" s="55"/>
      <c r="H339" s="55"/>
    </row>
    <row r="340" spans="7:8" ht="12.75">
      <c r="G340" s="55"/>
      <c r="H340" s="55"/>
    </row>
    <row r="341" spans="7:8" ht="12.75">
      <c r="G341" s="55"/>
      <c r="H341" s="55"/>
    </row>
    <row r="342" spans="7:8" ht="12.75">
      <c r="G342" s="55"/>
      <c r="H342" s="55"/>
    </row>
    <row r="343" spans="7:8" ht="12.75">
      <c r="G343" s="55"/>
      <c r="H343" s="55"/>
    </row>
    <row r="344" spans="7:8" ht="12.75">
      <c r="G344" s="55"/>
      <c r="H344" s="55"/>
    </row>
    <row r="345" spans="7:8" ht="12.75">
      <c r="G345" s="55"/>
      <c r="H345" s="55"/>
    </row>
    <row r="346" spans="7:8" ht="12.75">
      <c r="G346" s="55"/>
      <c r="H346" s="55"/>
    </row>
    <row r="347" spans="7:8" ht="12.75">
      <c r="G347" s="55"/>
      <c r="H347" s="55"/>
    </row>
    <row r="348" spans="7:8" ht="12.75">
      <c r="G348" s="55"/>
      <c r="H348" s="55"/>
    </row>
    <row r="349" spans="7:8" ht="12.75">
      <c r="G349" s="55"/>
      <c r="H349" s="55"/>
    </row>
    <row r="350" spans="7:8" ht="12.75">
      <c r="G350" s="55"/>
      <c r="H350" s="55"/>
    </row>
    <row r="351" spans="7:8" ht="12.75">
      <c r="G351" s="55"/>
      <c r="H351" s="55"/>
    </row>
    <row r="352" spans="7:8" ht="12.75">
      <c r="G352" s="55"/>
      <c r="H352" s="55"/>
    </row>
    <row r="353" spans="7:8" ht="12.75">
      <c r="G353" s="55"/>
      <c r="H353" s="55"/>
    </row>
    <row r="354" spans="7:8" ht="12.75">
      <c r="G354" s="55"/>
      <c r="H354" s="55"/>
    </row>
    <row r="355" spans="7:8" ht="12.75">
      <c r="G355" s="55"/>
      <c r="H355" s="55"/>
    </row>
    <row r="356" spans="7:8" ht="12.75">
      <c r="G356" s="55"/>
      <c r="H356" s="55"/>
    </row>
    <row r="357" spans="7:8" ht="12.75">
      <c r="G357" s="55"/>
      <c r="H357" s="55"/>
    </row>
    <row r="358" spans="7:8" ht="12.75">
      <c r="G358" s="55"/>
      <c r="H358" s="55"/>
    </row>
    <row r="359" spans="7:8" ht="12.75">
      <c r="G359" s="55"/>
      <c r="H359" s="55"/>
    </row>
    <row r="360" spans="7:8" ht="12.75">
      <c r="G360" s="55"/>
      <c r="H360" s="55"/>
    </row>
    <row r="361" spans="7:8" ht="12.75">
      <c r="G361" s="55"/>
      <c r="H361" s="55"/>
    </row>
    <row r="362" spans="7:8" ht="12.75">
      <c r="G362" s="55"/>
      <c r="H362" s="55"/>
    </row>
    <row r="363" spans="7:8" ht="12.75">
      <c r="G363" s="55"/>
      <c r="H363" s="55"/>
    </row>
    <row r="364" spans="7:8" ht="12.75">
      <c r="G364" s="55"/>
      <c r="H364" s="55"/>
    </row>
    <row r="365" spans="7:8" ht="12.75">
      <c r="G365" s="55"/>
      <c r="H365" s="55"/>
    </row>
    <row r="366" spans="7:8" ht="12.75">
      <c r="G366" s="55"/>
      <c r="H366" s="55"/>
    </row>
    <row r="367" spans="7:8" ht="12.75">
      <c r="G367" s="55"/>
      <c r="H367" s="55"/>
    </row>
    <row r="368" spans="7:8" ht="12.75">
      <c r="G368" s="55"/>
      <c r="H368" s="55"/>
    </row>
    <row r="369" spans="7:8" ht="12.75">
      <c r="G369" s="55"/>
      <c r="H369" s="55"/>
    </row>
    <row r="370" spans="7:8" ht="12.75">
      <c r="G370" s="55"/>
      <c r="H370" s="55"/>
    </row>
    <row r="371" spans="7:8" ht="12.75">
      <c r="G371" s="55"/>
      <c r="H371" s="55"/>
    </row>
    <row r="372" spans="7:8" ht="12.75">
      <c r="G372" s="55"/>
      <c r="H372" s="55"/>
    </row>
    <row r="373" spans="7:8" ht="12.75">
      <c r="G373" s="55"/>
      <c r="H373" s="55"/>
    </row>
    <row r="374" spans="7:8" ht="12.75">
      <c r="G374" s="55"/>
      <c r="H374" s="55"/>
    </row>
    <row r="375" spans="7:8" ht="12.75">
      <c r="G375" s="55"/>
      <c r="H375" s="55"/>
    </row>
    <row r="376" spans="7:8" ht="12.75">
      <c r="G376" s="55"/>
      <c r="H376" s="55"/>
    </row>
    <row r="377" spans="7:8" ht="12.75">
      <c r="G377" s="55"/>
      <c r="H377" s="55"/>
    </row>
    <row r="378" spans="7:8" ht="12.75">
      <c r="G378" s="55"/>
      <c r="H378" s="55"/>
    </row>
    <row r="379" spans="7:8" ht="12.75">
      <c r="G379" s="55"/>
      <c r="H379" s="55"/>
    </row>
    <row r="380" spans="7:8" ht="12.75">
      <c r="G380" s="55"/>
      <c r="H380" s="55"/>
    </row>
    <row r="381" spans="7:8" ht="12.75">
      <c r="G381" s="55"/>
      <c r="H381" s="55"/>
    </row>
    <row r="382" spans="7:8" ht="12.75">
      <c r="G382" s="55"/>
      <c r="H382" s="55"/>
    </row>
    <row r="383" spans="7:8" ht="12.75">
      <c r="G383" s="55"/>
      <c r="H383" s="55"/>
    </row>
    <row r="384" spans="7:8" ht="12.75">
      <c r="G384" s="55"/>
      <c r="H384" s="55"/>
    </row>
    <row r="385" spans="7:8" ht="12.75">
      <c r="G385" s="55"/>
      <c r="H385" s="55"/>
    </row>
    <row r="386" spans="7:8" ht="12.75">
      <c r="G386" s="55"/>
      <c r="H386" s="55"/>
    </row>
    <row r="387" spans="7:8" ht="12.75">
      <c r="G387" s="55"/>
      <c r="H387" s="55"/>
    </row>
    <row r="388" spans="7:8" ht="12.75">
      <c r="G388" s="55"/>
      <c r="H388" s="55"/>
    </row>
    <row r="389" spans="7:8" ht="12.75">
      <c r="G389" s="55"/>
      <c r="H389" s="55"/>
    </row>
    <row r="390" spans="7:8" ht="12.75">
      <c r="G390" s="55"/>
      <c r="H390" s="55"/>
    </row>
    <row r="391" spans="7:8" ht="12.75">
      <c r="G391" s="55"/>
      <c r="H391" s="55"/>
    </row>
    <row r="392" spans="7:8" ht="12.75">
      <c r="G392" s="55"/>
      <c r="H392" s="55"/>
    </row>
    <row r="393" spans="7:8" ht="12.75">
      <c r="G393" s="55"/>
      <c r="H393" s="55"/>
    </row>
    <row r="394" spans="7:8" ht="12.75">
      <c r="G394" s="55"/>
      <c r="H394" s="55"/>
    </row>
    <row r="395" spans="7:8" ht="12.75">
      <c r="G395" s="55"/>
      <c r="H395" s="55"/>
    </row>
    <row r="396" spans="7:8" ht="12.75">
      <c r="G396" s="55"/>
      <c r="H396" s="55"/>
    </row>
    <row r="397" spans="7:8" ht="12.75">
      <c r="G397" s="55"/>
      <c r="H397" s="55"/>
    </row>
    <row r="398" spans="7:8" ht="12.75">
      <c r="G398" s="55"/>
      <c r="H398" s="55"/>
    </row>
    <row r="399" spans="7:8" ht="12.75">
      <c r="G399" s="55"/>
      <c r="H399" s="55"/>
    </row>
    <row r="400" spans="7:8" ht="12.75">
      <c r="G400" s="55"/>
      <c r="H400" s="55"/>
    </row>
    <row r="401" spans="7:8" ht="12.75">
      <c r="G401" s="55"/>
      <c r="H401" s="55"/>
    </row>
    <row r="402" spans="7:8" ht="12.75">
      <c r="G402" s="55"/>
      <c r="H402" s="55"/>
    </row>
    <row r="403" spans="7:8" ht="12.75">
      <c r="G403" s="55"/>
      <c r="H403" s="55"/>
    </row>
    <row r="404" spans="7:8" ht="12.75">
      <c r="G404" s="55"/>
      <c r="H404" s="55"/>
    </row>
    <row r="405" spans="7:8" ht="12.75">
      <c r="G405" s="55"/>
      <c r="H405" s="55"/>
    </row>
    <row r="406" spans="7:8" ht="12.75">
      <c r="G406" s="55"/>
      <c r="H406" s="55"/>
    </row>
    <row r="407" spans="7:8" ht="12.75">
      <c r="G407" s="55"/>
      <c r="H407" s="55"/>
    </row>
    <row r="408" spans="7:8" ht="12.75">
      <c r="G408" s="55"/>
      <c r="H408" s="55"/>
    </row>
    <row r="409" spans="7:8" ht="12.75">
      <c r="G409" s="55"/>
      <c r="H409" s="55"/>
    </row>
    <row r="410" spans="7:8" ht="12.75">
      <c r="G410" s="55"/>
      <c r="H410" s="55"/>
    </row>
    <row r="411" spans="7:8" ht="12.75">
      <c r="G411" s="55"/>
      <c r="H411" s="55"/>
    </row>
    <row r="412" spans="7:8" ht="12.75">
      <c r="G412" s="55"/>
      <c r="H412" s="55"/>
    </row>
    <row r="413" spans="7:8" ht="12.75">
      <c r="G413" s="55"/>
      <c r="H413" s="55"/>
    </row>
    <row r="414" spans="7:8" ht="12.75">
      <c r="G414" s="55"/>
      <c r="H414" s="55"/>
    </row>
    <row r="415" spans="7:8" ht="12.75">
      <c r="G415" s="55"/>
      <c r="H415" s="55"/>
    </row>
    <row r="416" spans="7:8" ht="12.75">
      <c r="G416" s="55"/>
      <c r="H416" s="55"/>
    </row>
    <row r="417" spans="7:8" ht="12.75">
      <c r="G417" s="55"/>
      <c r="H417" s="55"/>
    </row>
    <row r="418" spans="7:8" ht="12.75">
      <c r="G418" s="55"/>
      <c r="H418" s="55"/>
    </row>
    <row r="419" spans="7:8" ht="12.75">
      <c r="G419" s="55"/>
      <c r="H419" s="55"/>
    </row>
    <row r="420" spans="7:8" ht="12.75">
      <c r="G420" s="55"/>
      <c r="H420" s="55"/>
    </row>
    <row r="421" spans="7:8" ht="12.75">
      <c r="G421" s="55"/>
      <c r="H421" s="55"/>
    </row>
    <row r="422" spans="7:8" ht="12.75">
      <c r="G422" s="55"/>
      <c r="H422" s="55"/>
    </row>
    <row r="423" spans="7:8" ht="12.75">
      <c r="G423" s="55"/>
      <c r="H423" s="55"/>
    </row>
    <row r="424" spans="7:8" ht="12.75">
      <c r="G424" s="55"/>
      <c r="H424" s="55"/>
    </row>
    <row r="425" spans="7:8" ht="12.75">
      <c r="G425" s="55"/>
      <c r="H425" s="55"/>
    </row>
    <row r="426" spans="7:8" ht="12.75">
      <c r="G426" s="55"/>
      <c r="H426" s="55"/>
    </row>
    <row r="427" spans="7:8" ht="12.75">
      <c r="G427" s="55"/>
      <c r="H427" s="55"/>
    </row>
    <row r="428" spans="7:8" ht="12.75">
      <c r="G428" s="55"/>
      <c r="H428" s="55"/>
    </row>
    <row r="429" spans="7:8" ht="12.75">
      <c r="G429" s="55"/>
      <c r="H429" s="55"/>
    </row>
    <row r="430" spans="7:8" ht="12.75">
      <c r="G430" s="55"/>
      <c r="H430" s="55"/>
    </row>
    <row r="431" spans="7:8" ht="12.75">
      <c r="G431" s="55"/>
      <c r="H431" s="55"/>
    </row>
    <row r="432" spans="7:8" ht="12.75">
      <c r="G432" s="55"/>
      <c r="H432" s="55"/>
    </row>
    <row r="433" spans="7:8" ht="12.75">
      <c r="G433" s="55"/>
      <c r="H433" s="55"/>
    </row>
    <row r="434" spans="7:8" ht="12.75">
      <c r="G434" s="55"/>
      <c r="H434" s="55"/>
    </row>
    <row r="435" spans="7:8" ht="12.75">
      <c r="G435" s="55"/>
      <c r="H435" s="55"/>
    </row>
    <row r="436" spans="7:8" ht="12.75">
      <c r="G436" s="55"/>
      <c r="H436" s="55"/>
    </row>
    <row r="437" spans="7:8" ht="12.75">
      <c r="G437" s="55"/>
      <c r="H437" s="55"/>
    </row>
    <row r="438" spans="7:8" ht="12.75">
      <c r="G438" s="55"/>
      <c r="H438" s="55"/>
    </row>
    <row r="439" spans="7:8" ht="12.75">
      <c r="G439" s="55"/>
      <c r="H439" s="55"/>
    </row>
    <row r="440" spans="7:8" ht="12.75">
      <c r="G440" s="55"/>
      <c r="H440" s="55"/>
    </row>
    <row r="441" spans="7:8" ht="12.75">
      <c r="G441" s="55"/>
      <c r="H441" s="55"/>
    </row>
    <row r="442" spans="7:8" ht="12.75">
      <c r="G442" s="55"/>
      <c r="H442" s="55"/>
    </row>
    <row r="443" spans="7:8" ht="12.75">
      <c r="G443" s="55"/>
      <c r="H443" s="55"/>
    </row>
    <row r="444" spans="7:8" ht="12.75">
      <c r="G444" s="55"/>
      <c r="H444" s="55"/>
    </row>
    <row r="445" spans="7:8" ht="12.75">
      <c r="G445" s="55"/>
      <c r="H445" s="55"/>
    </row>
    <row r="446" spans="7:8" ht="12.75">
      <c r="G446" s="55"/>
      <c r="H446" s="55"/>
    </row>
    <row r="447" spans="7:8" ht="12.75">
      <c r="G447" s="55"/>
      <c r="H447" s="55"/>
    </row>
    <row r="448" spans="7:8" ht="12.75">
      <c r="G448" s="55"/>
      <c r="H448" s="55"/>
    </row>
    <row r="449" spans="7:8" ht="12.75">
      <c r="G449" s="55"/>
      <c r="H449" s="55"/>
    </row>
    <row r="450" spans="7:8" ht="12.75">
      <c r="G450" s="55"/>
      <c r="H450" s="55"/>
    </row>
    <row r="451" spans="7:8" ht="12.75">
      <c r="G451" s="55"/>
      <c r="H451" s="55"/>
    </row>
    <row r="452" spans="7:8" ht="12.75">
      <c r="G452" s="55"/>
      <c r="H452" s="55"/>
    </row>
    <row r="453" spans="7:8" ht="12.75">
      <c r="G453" s="55"/>
      <c r="H453" s="55"/>
    </row>
    <row r="454" spans="7:8" ht="12.75">
      <c r="G454" s="55"/>
      <c r="H454" s="55"/>
    </row>
    <row r="455" spans="7:8" ht="12.75">
      <c r="G455" s="55"/>
      <c r="H455" s="55"/>
    </row>
    <row r="456" spans="7:8" ht="12.75">
      <c r="G456" s="55"/>
      <c r="H456" s="55"/>
    </row>
    <row r="457" spans="7:8" ht="12.75">
      <c r="G457" s="55"/>
      <c r="H457" s="55"/>
    </row>
    <row r="458" spans="7:8" ht="12.75">
      <c r="G458" s="55"/>
      <c r="H458" s="55"/>
    </row>
    <row r="459" spans="7:8" ht="12.75">
      <c r="G459" s="55"/>
      <c r="H459" s="55"/>
    </row>
    <row r="460" spans="7:8" ht="12.75">
      <c r="G460" s="55"/>
      <c r="H460" s="55"/>
    </row>
    <row r="461" spans="7:8" ht="12.75">
      <c r="G461" s="55"/>
      <c r="H461" s="55"/>
    </row>
    <row r="462" spans="7:8" ht="12.75">
      <c r="G462" s="55"/>
      <c r="H462" s="55"/>
    </row>
    <row r="463" spans="7:8" ht="12.75">
      <c r="G463" s="55"/>
      <c r="H463" s="55"/>
    </row>
    <row r="464" spans="7:8" ht="12.75">
      <c r="G464" s="55"/>
      <c r="H464" s="55"/>
    </row>
    <row r="465" spans="7:8" ht="12.75">
      <c r="G465" s="55"/>
      <c r="H465" s="55"/>
    </row>
    <row r="466" spans="7:8" ht="12.75">
      <c r="G466" s="55"/>
      <c r="H466" s="55"/>
    </row>
    <row r="467" spans="7:8" ht="12.75">
      <c r="G467" s="55"/>
      <c r="H467" s="55"/>
    </row>
    <row r="468" spans="7:8" ht="12.75">
      <c r="G468" s="55"/>
      <c r="H468" s="55"/>
    </row>
    <row r="469" spans="7:8" ht="12.75">
      <c r="G469" s="55"/>
      <c r="H469" s="55"/>
    </row>
    <row r="470" spans="7:8" ht="12.75">
      <c r="G470" s="55"/>
      <c r="H470" s="55"/>
    </row>
    <row r="471" spans="7:8" ht="12.75">
      <c r="G471" s="55"/>
      <c r="H471" s="55"/>
    </row>
    <row r="472" spans="7:8" ht="12.75">
      <c r="G472" s="55"/>
      <c r="H472" s="55"/>
    </row>
    <row r="473" spans="7:8" ht="12.75">
      <c r="G473" s="55"/>
      <c r="H473" s="55"/>
    </row>
    <row r="474" spans="7:8" ht="12.75">
      <c r="G474" s="55"/>
      <c r="H474" s="55"/>
    </row>
    <row r="475" spans="7:8" ht="12.75">
      <c r="G475" s="55"/>
      <c r="H475" s="55"/>
    </row>
    <row r="476" spans="7:8" ht="12.75">
      <c r="G476" s="55"/>
      <c r="H476" s="55"/>
    </row>
    <row r="477" spans="7:8" ht="12.75">
      <c r="G477" s="55"/>
      <c r="H477" s="55"/>
    </row>
    <row r="478" spans="7:8" ht="12.75">
      <c r="G478" s="55"/>
      <c r="H478" s="55"/>
    </row>
    <row r="479" spans="7:8" ht="12.75">
      <c r="G479" s="55"/>
      <c r="H479" s="55"/>
    </row>
    <row r="480" spans="7:8" ht="12.75">
      <c r="G480" s="55"/>
      <c r="H480" s="55"/>
    </row>
    <row r="481" spans="7:8" ht="12.75">
      <c r="G481" s="55"/>
      <c r="H481" s="55"/>
    </row>
    <row r="482" spans="7:8" ht="12.75">
      <c r="G482" s="55"/>
      <c r="H482" s="55"/>
    </row>
    <row r="483" spans="7:8" ht="12.75">
      <c r="G483" s="55"/>
      <c r="H483" s="55"/>
    </row>
    <row r="484" spans="7:8" ht="12.75">
      <c r="G484" s="55"/>
      <c r="H484" s="55"/>
    </row>
    <row r="485" spans="7:8" ht="12.75">
      <c r="G485" s="55"/>
      <c r="H485" s="55"/>
    </row>
    <row r="486" spans="7:8" ht="12.75">
      <c r="G486" s="55"/>
      <c r="H486" s="55"/>
    </row>
    <row r="487" spans="7:8" ht="12.75">
      <c r="G487" s="55"/>
      <c r="H487" s="55"/>
    </row>
    <row r="488" spans="7:8" ht="12.75">
      <c r="G488" s="55"/>
      <c r="H488" s="55"/>
    </row>
    <row r="489" spans="7:8" ht="12.75">
      <c r="G489" s="55"/>
      <c r="H489" s="55"/>
    </row>
    <row r="490" spans="7:8" ht="12.75">
      <c r="G490" s="55"/>
      <c r="H490" s="55"/>
    </row>
    <row r="491" spans="7:8" ht="12.75">
      <c r="G491" s="55"/>
      <c r="H491" s="55"/>
    </row>
    <row r="492" spans="7:8" ht="12.75">
      <c r="G492" s="55"/>
      <c r="H492" s="55"/>
    </row>
    <row r="493" spans="7:8" ht="12.75">
      <c r="G493" s="55"/>
      <c r="H493" s="55"/>
    </row>
    <row r="494" spans="7:8" ht="12.75">
      <c r="G494" s="55"/>
      <c r="H494" s="55"/>
    </row>
    <row r="495" spans="7:8" ht="12.75">
      <c r="G495" s="55"/>
      <c r="H495" s="55"/>
    </row>
    <row r="496" spans="7:8" ht="12.75">
      <c r="G496" s="55"/>
      <c r="H496" s="55"/>
    </row>
    <row r="497" spans="7:8" ht="12.75">
      <c r="G497" s="55"/>
      <c r="H497" s="55"/>
    </row>
    <row r="498" spans="7:8" ht="12.75">
      <c r="G498" s="55"/>
      <c r="H498" s="55"/>
    </row>
    <row r="499" spans="7:8" ht="12.75">
      <c r="G499" s="55"/>
      <c r="H499" s="55"/>
    </row>
    <row r="500" spans="7:8" ht="12.75">
      <c r="G500" s="55"/>
      <c r="H500" s="55"/>
    </row>
    <row r="501" spans="7:8" ht="12.75">
      <c r="G501" s="55"/>
      <c r="H501" s="55"/>
    </row>
    <row r="502" spans="7:8" ht="12.75">
      <c r="G502" s="55"/>
      <c r="H502" s="55"/>
    </row>
    <row r="503" spans="7:8" ht="12.75">
      <c r="G503" s="55"/>
      <c r="H503" s="55"/>
    </row>
    <row r="504" spans="7:8" ht="12.75">
      <c r="G504" s="55"/>
      <c r="H504" s="55"/>
    </row>
    <row r="505" spans="7:8" ht="12.75">
      <c r="G505" s="55"/>
      <c r="H505" s="55"/>
    </row>
    <row r="506" spans="7:8" ht="12.75">
      <c r="G506" s="55"/>
      <c r="H506" s="55"/>
    </row>
    <row r="507" spans="7:8" ht="12.75">
      <c r="G507" s="55"/>
      <c r="H507" s="55"/>
    </row>
    <row r="508" spans="7:8" ht="12.75">
      <c r="G508" s="55"/>
      <c r="H508" s="55"/>
    </row>
    <row r="509" spans="7:8" ht="12.75">
      <c r="G509" s="55"/>
      <c r="H509" s="55"/>
    </row>
    <row r="510" spans="7:8" ht="12.75">
      <c r="G510" s="55"/>
      <c r="H510" s="55"/>
    </row>
    <row r="511" spans="7:8" ht="12.75">
      <c r="G511" s="55"/>
      <c r="H511" s="55"/>
    </row>
    <row r="512" spans="7:8" ht="12.75">
      <c r="G512" s="55"/>
      <c r="H512" s="55"/>
    </row>
    <row r="513" spans="7:8" ht="12.75">
      <c r="G513" s="55"/>
      <c r="H513" s="55"/>
    </row>
    <row r="514" spans="7:8" ht="12.75">
      <c r="G514" s="55"/>
      <c r="H514" s="55"/>
    </row>
    <row r="515" spans="7:8" ht="12.75">
      <c r="G515" s="55"/>
      <c r="H515" s="55"/>
    </row>
    <row r="516" spans="7:8" ht="12.75">
      <c r="G516" s="55"/>
      <c r="H516" s="55"/>
    </row>
    <row r="517" spans="7:8" ht="12.75">
      <c r="G517" s="55"/>
      <c r="H517" s="55"/>
    </row>
    <row r="518" spans="7:8" ht="12.75">
      <c r="G518" s="55"/>
      <c r="H518" s="55"/>
    </row>
    <row r="519" spans="7:8" ht="12.75">
      <c r="G519" s="55"/>
      <c r="H519" s="55"/>
    </row>
    <row r="520" spans="7:8" ht="12.75">
      <c r="G520" s="55"/>
      <c r="H520" s="55"/>
    </row>
    <row r="521" spans="7:8" ht="12.75">
      <c r="G521" s="55"/>
      <c r="H521" s="55"/>
    </row>
    <row r="522" spans="7:8" ht="12.75">
      <c r="G522" s="55"/>
      <c r="H522" s="55"/>
    </row>
    <row r="523" spans="7:8" ht="12.75">
      <c r="G523" s="55"/>
      <c r="H523" s="55"/>
    </row>
    <row r="524" spans="7:8" ht="12.75">
      <c r="G524" s="55"/>
      <c r="H524" s="55"/>
    </row>
    <row r="525" spans="7:8" ht="12.75">
      <c r="G525" s="55"/>
      <c r="H525" s="55"/>
    </row>
    <row r="526" spans="7:8" ht="12.75">
      <c r="G526" s="55"/>
      <c r="H526" s="55"/>
    </row>
    <row r="527" spans="7:8" ht="12.75">
      <c r="G527" s="55"/>
      <c r="H527" s="55"/>
    </row>
    <row r="528" spans="7:8" ht="12.75">
      <c r="G528" s="55"/>
      <c r="H528" s="55"/>
    </row>
    <row r="529" spans="7:8" ht="12.75">
      <c r="G529" s="55"/>
      <c r="H529" s="55"/>
    </row>
    <row r="530" spans="7:8" ht="12.75">
      <c r="G530" s="55"/>
      <c r="H530" s="55"/>
    </row>
    <row r="531" spans="7:8" ht="12.75">
      <c r="G531" s="55"/>
      <c r="H531" s="55"/>
    </row>
    <row r="532" spans="7:8" ht="12.75">
      <c r="G532" s="55"/>
      <c r="H532" s="55"/>
    </row>
    <row r="533" spans="7:8" ht="12.75">
      <c r="G533" s="55"/>
      <c r="H533" s="55"/>
    </row>
    <row r="534" spans="7:8" ht="12.75">
      <c r="G534" s="55"/>
      <c r="H534" s="55"/>
    </row>
    <row r="535" spans="7:8" ht="12.75">
      <c r="G535" s="55"/>
      <c r="H535" s="55"/>
    </row>
    <row r="536" spans="7:8" ht="12.75">
      <c r="G536" s="55"/>
      <c r="H536" s="55"/>
    </row>
    <row r="537" spans="7:8" ht="12.75">
      <c r="G537" s="55"/>
      <c r="H537" s="55"/>
    </row>
    <row r="538" spans="7:8" ht="12.75">
      <c r="G538" s="55"/>
      <c r="H538" s="55"/>
    </row>
    <row r="539" spans="7:8" ht="12.75">
      <c r="G539" s="55"/>
      <c r="H539" s="55"/>
    </row>
    <row r="540" spans="7:8" ht="12.75">
      <c r="G540" s="55"/>
      <c r="H540" s="55"/>
    </row>
    <row r="541" spans="7:8" ht="12.75">
      <c r="G541" s="55"/>
      <c r="H541" s="55"/>
    </row>
    <row r="542" spans="7:8" ht="12.75">
      <c r="G542" s="55"/>
      <c r="H542" s="55"/>
    </row>
    <row r="543" spans="7:8" ht="12.75">
      <c r="G543" s="55"/>
      <c r="H543" s="55"/>
    </row>
    <row r="544" spans="7:8" ht="12.75">
      <c r="G544" s="55"/>
      <c r="H544" s="55"/>
    </row>
    <row r="545" spans="7:8" ht="12.75">
      <c r="G545" s="55"/>
      <c r="H545" s="55"/>
    </row>
    <row r="546" spans="7:8" ht="12.75">
      <c r="G546" s="55"/>
      <c r="H546" s="55"/>
    </row>
    <row r="547" spans="7:8" ht="12.75">
      <c r="G547" s="55"/>
      <c r="H547" s="55"/>
    </row>
    <row r="548" spans="7:8" ht="12.75">
      <c r="G548" s="55"/>
      <c r="H548" s="55"/>
    </row>
    <row r="549" spans="7:8" ht="12.75">
      <c r="G549" s="55"/>
      <c r="H549" s="55"/>
    </row>
    <row r="550" spans="7:8" ht="12.75">
      <c r="G550" s="55"/>
      <c r="H550" s="55"/>
    </row>
    <row r="551" spans="7:8" ht="12.75">
      <c r="G551" s="55"/>
      <c r="H551" s="55"/>
    </row>
    <row r="552" spans="7:8" ht="12.75">
      <c r="G552" s="55"/>
      <c r="H552" s="55"/>
    </row>
    <row r="553" spans="7:8" ht="12.75">
      <c r="G553" s="55"/>
      <c r="H553" s="55"/>
    </row>
    <row r="554" spans="7:8" ht="12.75">
      <c r="G554" s="55"/>
      <c r="H554" s="55"/>
    </row>
    <row r="555" spans="7:8" ht="12.75">
      <c r="G555" s="55"/>
      <c r="H555" s="55"/>
    </row>
    <row r="556" spans="7:8" ht="12.75">
      <c r="G556" s="55"/>
      <c r="H556" s="55"/>
    </row>
    <row r="557" spans="7:8" ht="12.75">
      <c r="G557" s="55"/>
      <c r="H557" s="55"/>
    </row>
    <row r="558" spans="7:8" ht="12.75">
      <c r="G558" s="55"/>
      <c r="H558" s="55"/>
    </row>
    <row r="559" spans="7:8" ht="12.75">
      <c r="G559" s="55"/>
      <c r="H559" s="55"/>
    </row>
    <row r="560" spans="7:8" ht="12.75">
      <c r="G560" s="55"/>
      <c r="H560" s="55"/>
    </row>
    <row r="561" spans="7:8" ht="12.75">
      <c r="G561" s="55"/>
      <c r="H561" s="55"/>
    </row>
    <row r="562" spans="7:8" ht="12.75">
      <c r="G562" s="55"/>
      <c r="H562" s="55"/>
    </row>
    <row r="563" spans="7:8" ht="12.75">
      <c r="G563" s="55"/>
      <c r="H563" s="55"/>
    </row>
    <row r="564" spans="7:8" ht="12.75">
      <c r="G564" s="55"/>
      <c r="H564" s="55"/>
    </row>
    <row r="565" spans="7:8" ht="12.75">
      <c r="G565" s="55"/>
      <c r="H565" s="55"/>
    </row>
    <row r="566" spans="7:8" ht="12.75">
      <c r="G566" s="55"/>
      <c r="H566" s="55"/>
    </row>
    <row r="567" spans="7:8" ht="12.75">
      <c r="G567" s="55"/>
      <c r="H567" s="55"/>
    </row>
    <row r="568" spans="7:8" ht="12.75">
      <c r="G568" s="55"/>
      <c r="H568" s="55"/>
    </row>
    <row r="569" spans="7:8" ht="12.75">
      <c r="G569" s="55"/>
      <c r="H569" s="55"/>
    </row>
    <row r="570" spans="7:8" ht="12.75">
      <c r="G570" s="55"/>
      <c r="H570" s="55"/>
    </row>
    <row r="571" spans="7:8" ht="12.75">
      <c r="G571" s="55"/>
      <c r="H571" s="55"/>
    </row>
    <row r="572" spans="7:8" ht="12.75">
      <c r="G572" s="55"/>
      <c r="H572" s="55"/>
    </row>
    <row r="573" spans="7:8" ht="12.75">
      <c r="G573" s="55"/>
      <c r="H573" s="55"/>
    </row>
    <row r="574" spans="7:8" ht="12.75">
      <c r="G574" s="55"/>
      <c r="H574" s="55"/>
    </row>
    <row r="575" spans="7:8" ht="12.75">
      <c r="G575" s="55"/>
      <c r="H575" s="55"/>
    </row>
    <row r="576" spans="7:8" ht="12.75">
      <c r="G576" s="55"/>
      <c r="H576" s="55"/>
    </row>
    <row r="577" spans="7:8" ht="12.75">
      <c r="G577" s="55"/>
      <c r="H577" s="55"/>
    </row>
    <row r="578" spans="7:8" ht="12.75">
      <c r="G578" s="55"/>
      <c r="H578" s="55"/>
    </row>
    <row r="579" spans="7:8" ht="12.75">
      <c r="G579" s="55"/>
      <c r="H579" s="55"/>
    </row>
    <row r="580" spans="7:8" ht="12.75">
      <c r="G580" s="55"/>
      <c r="H580" s="55"/>
    </row>
    <row r="581" spans="7:8" ht="12.75">
      <c r="G581" s="55"/>
      <c r="H581" s="55"/>
    </row>
    <row r="582" spans="7:8" ht="12.75">
      <c r="G582" s="55"/>
      <c r="H582" s="55"/>
    </row>
    <row r="583" spans="7:8" ht="12.75">
      <c r="G583" s="55"/>
      <c r="H583" s="55"/>
    </row>
    <row r="584" spans="7:8" ht="12.75">
      <c r="G584" s="55"/>
      <c r="H584" s="55"/>
    </row>
    <row r="585" spans="7:8" ht="12.75">
      <c r="G585" s="55"/>
      <c r="H585" s="55"/>
    </row>
    <row r="586" spans="7:8" ht="12.75">
      <c r="G586" s="55"/>
      <c r="H586" s="55"/>
    </row>
    <row r="587" spans="7:8" ht="12.75">
      <c r="G587" s="55"/>
      <c r="H587" s="55"/>
    </row>
    <row r="588" spans="7:8" ht="12.75">
      <c r="G588" s="55"/>
      <c r="H588" s="55"/>
    </row>
    <row r="589" spans="7:8" ht="12.75">
      <c r="G589" s="55"/>
      <c r="H589" s="55"/>
    </row>
    <row r="590" spans="7:8" ht="12.75">
      <c r="G590" s="55"/>
      <c r="H590" s="55"/>
    </row>
    <row r="591" spans="7:8" ht="12.75">
      <c r="G591" s="55"/>
      <c r="H591" s="55"/>
    </row>
    <row r="592" spans="7:8" ht="12.75">
      <c r="G592" s="55"/>
      <c r="H592" s="55"/>
    </row>
    <row r="593" spans="7:8" ht="12.75">
      <c r="G593" s="55"/>
      <c r="H593" s="55"/>
    </row>
    <row r="594" spans="7:8" ht="12.75">
      <c r="G594" s="55"/>
      <c r="H594" s="55"/>
    </row>
    <row r="595" spans="7:8" ht="12.75">
      <c r="G595" s="55"/>
      <c r="H595" s="55"/>
    </row>
    <row r="596" spans="7:8" ht="12.75">
      <c r="G596" s="55"/>
      <c r="H596" s="55"/>
    </row>
    <row r="597" spans="7:8" ht="12.75">
      <c r="G597" s="55"/>
      <c r="H597" s="55"/>
    </row>
    <row r="598" spans="7:8" ht="12.75">
      <c r="G598" s="55"/>
      <c r="H598" s="55"/>
    </row>
    <row r="599" spans="7:8" ht="12.75">
      <c r="G599" s="55"/>
      <c r="H599" s="55"/>
    </row>
    <row r="600" spans="7:8" ht="12.75">
      <c r="G600" s="55"/>
      <c r="H600" s="55"/>
    </row>
    <row r="601" spans="7:8" ht="12.75">
      <c r="G601" s="55"/>
      <c r="H601" s="55"/>
    </row>
    <row r="602" spans="7:8" ht="12.75">
      <c r="G602" s="55"/>
      <c r="H602" s="55"/>
    </row>
    <row r="603" spans="7:8" ht="12.75">
      <c r="G603" s="55"/>
      <c r="H603" s="55"/>
    </row>
    <row r="604" spans="7:8" ht="12.75">
      <c r="G604" s="55"/>
      <c r="H604" s="55"/>
    </row>
    <row r="605" spans="7:8" ht="12.75">
      <c r="G605" s="55"/>
      <c r="H605" s="55"/>
    </row>
    <row r="606" spans="7:8" ht="12.75">
      <c r="G606" s="55"/>
      <c r="H606" s="55"/>
    </row>
    <row r="607" spans="7:8" ht="12.75">
      <c r="G607" s="55"/>
      <c r="H607" s="55"/>
    </row>
    <row r="608" spans="7:8" ht="12.75">
      <c r="G608" s="55"/>
      <c r="H608" s="55"/>
    </row>
    <row r="609" spans="7:8" ht="12.75">
      <c r="G609" s="55"/>
      <c r="H609" s="55"/>
    </row>
    <row r="610" spans="7:8" ht="12.75">
      <c r="G610" s="55"/>
      <c r="H610" s="55"/>
    </row>
    <row r="611" spans="7:8" ht="12.75">
      <c r="G611" s="55"/>
      <c r="H611" s="55"/>
    </row>
    <row r="612" spans="7:8" ht="12.75">
      <c r="G612" s="55"/>
      <c r="H612" s="55"/>
    </row>
    <row r="613" spans="7:8" ht="12.75">
      <c r="G613" s="55"/>
      <c r="H613" s="55"/>
    </row>
    <row r="614" spans="7:8" ht="12.75">
      <c r="G614" s="55"/>
      <c r="H614" s="55"/>
    </row>
    <row r="615" spans="7:8" ht="12.75">
      <c r="G615" s="55"/>
      <c r="H615" s="55"/>
    </row>
    <row r="616" spans="7:8" ht="12.75">
      <c r="G616" s="55"/>
      <c r="H616" s="55"/>
    </row>
    <row r="617" spans="7:8" ht="12.75">
      <c r="G617" s="55"/>
      <c r="H617" s="55"/>
    </row>
    <row r="618" spans="7:8" ht="12.75">
      <c r="G618" s="55"/>
      <c r="H618" s="55"/>
    </row>
    <row r="619" spans="7:8" ht="12.75">
      <c r="G619" s="55"/>
      <c r="H619" s="55"/>
    </row>
    <row r="620" spans="7:8" ht="12.75">
      <c r="G620" s="55"/>
      <c r="H620" s="55"/>
    </row>
    <row r="621" spans="7:8" ht="12.75">
      <c r="G621" s="55"/>
      <c r="H621" s="55"/>
    </row>
    <row r="622" spans="7:8" ht="12.75">
      <c r="G622" s="55"/>
      <c r="H622" s="55"/>
    </row>
    <row r="623" spans="7:8" ht="12.75">
      <c r="G623" s="55"/>
      <c r="H623" s="55"/>
    </row>
    <row r="624" spans="7:8" ht="12.75">
      <c r="G624" s="55"/>
      <c r="H624" s="55"/>
    </row>
    <row r="625" spans="7:8" ht="12.75">
      <c r="G625" s="55"/>
      <c r="H625" s="55"/>
    </row>
    <row r="626" spans="7:8" ht="12.75">
      <c r="G626" s="55"/>
      <c r="H626" s="55"/>
    </row>
    <row r="627" spans="7:8" ht="12.75">
      <c r="G627" s="55"/>
      <c r="H627" s="55"/>
    </row>
    <row r="628" spans="7:8" ht="12.75">
      <c r="G628" s="55"/>
      <c r="H628" s="55"/>
    </row>
    <row r="629" spans="7:8" ht="12.75">
      <c r="G629" s="55"/>
      <c r="H629" s="55"/>
    </row>
    <row r="630" spans="7:8" ht="12.75">
      <c r="G630" s="55"/>
      <c r="H630" s="55"/>
    </row>
    <row r="631" spans="7:8" ht="12.75">
      <c r="G631" s="55"/>
      <c r="H631" s="55"/>
    </row>
    <row r="632" spans="7:8" ht="12.75">
      <c r="G632" s="55"/>
      <c r="H632" s="55"/>
    </row>
    <row r="633" spans="7:8" ht="12.75">
      <c r="G633" s="55"/>
      <c r="H633" s="55"/>
    </row>
    <row r="634" spans="7:8" ht="12.75">
      <c r="G634" s="55"/>
      <c r="H634" s="55"/>
    </row>
    <row r="635" spans="7:8" ht="12.75">
      <c r="G635" s="55"/>
      <c r="H635" s="55"/>
    </row>
    <row r="636" spans="7:8" ht="12.75">
      <c r="G636" s="55"/>
      <c r="H636" s="55"/>
    </row>
    <row r="637" spans="7:8" ht="12.75">
      <c r="G637" s="55"/>
      <c r="H637" s="55"/>
    </row>
    <row r="638" spans="7:8" ht="12.75">
      <c r="G638" s="55"/>
      <c r="H638" s="55"/>
    </row>
    <row r="639" spans="7:8" ht="12.75">
      <c r="G639" s="55"/>
      <c r="H639" s="55"/>
    </row>
    <row r="640" spans="7:8" ht="12.75">
      <c r="G640" s="55"/>
      <c r="H640" s="55"/>
    </row>
    <row r="641" spans="7:8" ht="12.75">
      <c r="G641" s="55"/>
      <c r="H641" s="55"/>
    </row>
    <row r="642" spans="7:8" ht="12.75">
      <c r="G642" s="55"/>
      <c r="H642" s="55"/>
    </row>
    <row r="643" spans="7:8" ht="12.75">
      <c r="G643" s="55"/>
      <c r="H643" s="55"/>
    </row>
    <row r="644" spans="7:8" ht="12.75">
      <c r="G644" s="55"/>
      <c r="H644" s="55"/>
    </row>
    <row r="645" spans="7:8" ht="12.75">
      <c r="G645" s="55"/>
      <c r="H645" s="55"/>
    </row>
    <row r="646" spans="7:8" ht="12.75">
      <c r="G646" s="55"/>
      <c r="H646" s="55"/>
    </row>
    <row r="647" spans="7:8" ht="12.75">
      <c r="G647" s="55"/>
      <c r="H647" s="55"/>
    </row>
    <row r="648" spans="7:8" ht="12.75">
      <c r="G648" s="55"/>
      <c r="H648" s="55"/>
    </row>
    <row r="649" spans="7:8" ht="12.75">
      <c r="G649" s="55"/>
      <c r="H649" s="55"/>
    </row>
    <row r="650" spans="7:8" ht="12.75">
      <c r="G650" s="55"/>
      <c r="H650" s="55"/>
    </row>
    <row r="651" spans="7:8" ht="12.75">
      <c r="G651" s="55"/>
      <c r="H651" s="55"/>
    </row>
    <row r="652" spans="7:8" ht="12.75">
      <c r="G652" s="55"/>
      <c r="H652" s="55"/>
    </row>
    <row r="653" spans="7:8" ht="12.75">
      <c r="G653" s="55"/>
      <c r="H653" s="55"/>
    </row>
    <row r="654" spans="7:8" ht="12.75">
      <c r="G654" s="55"/>
      <c r="H654" s="55"/>
    </row>
    <row r="655" spans="7:8" ht="12.75">
      <c r="G655" s="55"/>
      <c r="H655" s="55"/>
    </row>
    <row r="656" spans="7:8" ht="12.75">
      <c r="G656" s="55"/>
      <c r="H656" s="55"/>
    </row>
    <row r="657" spans="7:8" ht="12.75">
      <c r="G657" s="55"/>
      <c r="H657" s="55"/>
    </row>
    <row r="658" spans="7:8" ht="12.75">
      <c r="G658" s="55"/>
      <c r="H658" s="55"/>
    </row>
    <row r="659" spans="7:8" ht="12.75">
      <c r="G659" s="55"/>
      <c r="H659" s="55"/>
    </row>
    <row r="660" spans="7:8" ht="12.75">
      <c r="G660" s="55"/>
      <c r="H660" s="55"/>
    </row>
    <row r="661" spans="7:8" ht="12.75">
      <c r="G661" s="55"/>
      <c r="H661" s="55"/>
    </row>
    <row r="662" spans="7:8" ht="12.75">
      <c r="G662" s="55"/>
      <c r="H662" s="55"/>
    </row>
    <row r="663" spans="7:8" ht="12.75">
      <c r="G663" s="55"/>
      <c r="H663" s="55"/>
    </row>
    <row r="664" spans="7:8" ht="12.75">
      <c r="G664" s="55"/>
      <c r="H664" s="55"/>
    </row>
    <row r="665" spans="7:8" ht="12.75">
      <c r="G665" s="55"/>
      <c r="H665" s="55"/>
    </row>
    <row r="666" spans="7:8" ht="12.75">
      <c r="G666" s="55"/>
      <c r="H666" s="55"/>
    </row>
    <row r="667" spans="7:8" ht="12.75">
      <c r="G667" s="55"/>
      <c r="H667" s="55"/>
    </row>
    <row r="668" spans="7:8" ht="12.75">
      <c r="G668" s="55"/>
      <c r="H668" s="55"/>
    </row>
    <row r="669" spans="7:8" ht="12.75">
      <c r="G669" s="55"/>
      <c r="H669" s="55"/>
    </row>
    <row r="670" spans="7:8" ht="12.75">
      <c r="G670" s="55"/>
      <c r="H670" s="55"/>
    </row>
    <row r="671" spans="7:8" ht="12.75">
      <c r="G671" s="55"/>
      <c r="H671" s="55"/>
    </row>
    <row r="672" spans="7:8" ht="12.75">
      <c r="G672" s="55"/>
      <c r="H672" s="55"/>
    </row>
    <row r="673" spans="7:8" ht="12.75">
      <c r="G673" s="55"/>
      <c r="H673" s="55"/>
    </row>
    <row r="674" spans="7:8" ht="12.75">
      <c r="G674" s="55"/>
      <c r="H674" s="55"/>
    </row>
    <row r="675" spans="7:8" ht="12.75">
      <c r="G675" s="55"/>
      <c r="H675" s="55"/>
    </row>
    <row r="676" spans="7:8" ht="12.75">
      <c r="G676" s="55"/>
      <c r="H676" s="55"/>
    </row>
    <row r="677" spans="7:8" ht="12.75">
      <c r="G677" s="55"/>
      <c r="H677" s="55"/>
    </row>
    <row r="678" spans="7:8" ht="12.75">
      <c r="G678" s="55"/>
      <c r="H678" s="55"/>
    </row>
    <row r="679" spans="7:8" ht="12.75">
      <c r="G679" s="55"/>
      <c r="H679" s="55"/>
    </row>
    <row r="680" spans="7:8" ht="12.75">
      <c r="G680" s="55"/>
      <c r="H680" s="55"/>
    </row>
    <row r="681" spans="7:8" ht="12.75">
      <c r="G681" s="55"/>
      <c r="H681" s="55"/>
    </row>
    <row r="682" spans="7:8" ht="12.75">
      <c r="G682" s="55"/>
      <c r="H682" s="55"/>
    </row>
    <row r="683" spans="7:8" ht="12.75">
      <c r="G683" s="55"/>
      <c r="H683" s="55"/>
    </row>
    <row r="684" spans="7:8" ht="12.75">
      <c r="G684" s="55"/>
      <c r="H684" s="55"/>
    </row>
    <row r="685" spans="7:8" ht="12.75">
      <c r="G685" s="55"/>
      <c r="H685" s="55"/>
    </row>
    <row r="686" spans="7:8" ht="12.75">
      <c r="G686" s="55"/>
      <c r="H686" s="55"/>
    </row>
    <row r="687" spans="7:8" ht="12.75">
      <c r="G687" s="55"/>
      <c r="H687" s="55"/>
    </row>
    <row r="688" spans="7:8" ht="12.75">
      <c r="G688" s="55"/>
      <c r="H688" s="55"/>
    </row>
    <row r="689" spans="7:8" ht="12.75">
      <c r="G689" s="55"/>
      <c r="H689" s="55"/>
    </row>
    <row r="690" spans="7:8" ht="12.75">
      <c r="G690" s="55"/>
      <c r="H690" s="55"/>
    </row>
    <row r="691" spans="7:8" ht="12.75">
      <c r="G691" s="55"/>
      <c r="H691" s="55"/>
    </row>
    <row r="692" spans="7:8" ht="12.75">
      <c r="G692" s="55"/>
      <c r="H692" s="55"/>
    </row>
    <row r="693" spans="7:8" ht="12.75">
      <c r="G693" s="55"/>
      <c r="H693" s="55"/>
    </row>
    <row r="694" spans="7:8" ht="12.75">
      <c r="G694" s="55"/>
      <c r="H694" s="55"/>
    </row>
    <row r="695" spans="7:8" ht="12.75">
      <c r="G695" s="55"/>
      <c r="H695" s="55"/>
    </row>
    <row r="696" spans="7:8" ht="12.75">
      <c r="G696" s="55"/>
      <c r="H696" s="55"/>
    </row>
    <row r="697" spans="7:8" ht="12.75">
      <c r="G697" s="55"/>
      <c r="H697" s="55"/>
    </row>
    <row r="698" spans="7:8" ht="12.75">
      <c r="G698" s="55"/>
      <c r="H698" s="55"/>
    </row>
    <row r="699" spans="7:8" ht="12.75">
      <c r="G699" s="55"/>
      <c r="H699" s="55"/>
    </row>
    <row r="700" spans="7:8" ht="12.75">
      <c r="G700" s="55"/>
      <c r="H700" s="55"/>
    </row>
    <row r="701" spans="7:8" ht="12.75">
      <c r="G701" s="55"/>
      <c r="H701" s="55"/>
    </row>
    <row r="702" spans="7:8" ht="12.75">
      <c r="G702" s="55"/>
      <c r="H702" s="55"/>
    </row>
    <row r="703" spans="7:8" ht="12.75">
      <c r="G703" s="55"/>
      <c r="H703" s="55"/>
    </row>
    <row r="704" spans="7:8" ht="12.75">
      <c r="G704" s="55"/>
      <c r="H704" s="55"/>
    </row>
    <row r="705" spans="7:8" ht="12.75">
      <c r="G705" s="55"/>
      <c r="H705" s="55"/>
    </row>
    <row r="706" spans="7:8" ht="12.75">
      <c r="G706" s="55"/>
      <c r="H706" s="55"/>
    </row>
    <row r="707" spans="7:8" ht="12.75">
      <c r="G707" s="55"/>
      <c r="H707" s="55"/>
    </row>
    <row r="708" spans="7:8" ht="12.75">
      <c r="G708" s="55"/>
      <c r="H708" s="55"/>
    </row>
    <row r="709" spans="7:8" ht="12.75">
      <c r="G709" s="55"/>
      <c r="H709" s="55"/>
    </row>
    <row r="710" spans="7:8" ht="12.75">
      <c r="G710" s="55"/>
      <c r="H710" s="55"/>
    </row>
    <row r="711" spans="7:8" ht="12.75">
      <c r="G711" s="55"/>
      <c r="H711" s="55"/>
    </row>
    <row r="712" spans="7:8" ht="12.75">
      <c r="G712" s="55"/>
      <c r="H712" s="55"/>
    </row>
    <row r="713" spans="7:8" ht="12.75">
      <c r="G713" s="55"/>
      <c r="H713" s="55"/>
    </row>
    <row r="714" spans="7:8" ht="12.75">
      <c r="G714" s="55"/>
      <c r="H714" s="55"/>
    </row>
    <row r="715" spans="7:8" ht="12.75">
      <c r="G715" s="55"/>
      <c r="H715" s="55"/>
    </row>
    <row r="716" spans="7:8" ht="12.75">
      <c r="G716" s="55"/>
      <c r="H716" s="55"/>
    </row>
    <row r="717" spans="7:8" ht="12.75">
      <c r="G717" s="55"/>
      <c r="H717" s="55"/>
    </row>
    <row r="718" spans="7:8" ht="12.75">
      <c r="G718" s="55"/>
      <c r="H718" s="55"/>
    </row>
    <row r="719" spans="7:8" ht="12.75">
      <c r="G719" s="55"/>
      <c r="H719" s="55"/>
    </row>
    <row r="720" spans="7:8" ht="12.75">
      <c r="G720" s="55"/>
      <c r="H720" s="55"/>
    </row>
    <row r="721" spans="7:8" ht="12.75">
      <c r="G721" s="55"/>
      <c r="H721" s="55"/>
    </row>
    <row r="722" spans="7:8" ht="12.75">
      <c r="G722" s="55"/>
      <c r="H722" s="55"/>
    </row>
    <row r="723" spans="7:8" ht="12.75">
      <c r="G723" s="55"/>
      <c r="H723" s="55"/>
    </row>
    <row r="724" spans="7:8" ht="12.75">
      <c r="G724" s="55"/>
      <c r="H724" s="55"/>
    </row>
    <row r="725" spans="7:8" ht="12.75">
      <c r="G725" s="55"/>
      <c r="H725" s="55"/>
    </row>
    <row r="726" spans="7:8" ht="12.75">
      <c r="G726" s="55"/>
      <c r="H726" s="55"/>
    </row>
    <row r="727" spans="7:8" ht="12.75">
      <c r="G727" s="55"/>
      <c r="H727" s="55"/>
    </row>
    <row r="728" spans="7:8" ht="12.75">
      <c r="G728" s="55"/>
      <c r="H728" s="55"/>
    </row>
    <row r="729" spans="7:8" ht="12.75">
      <c r="G729" s="55"/>
      <c r="H729" s="55"/>
    </row>
    <row r="730" spans="7:8" ht="12.75">
      <c r="G730" s="55"/>
      <c r="H730" s="55"/>
    </row>
    <row r="731" spans="7:8" ht="12.75">
      <c r="G731" s="55"/>
      <c r="H731" s="55"/>
    </row>
    <row r="732" spans="7:8" ht="12.75">
      <c r="G732" s="55"/>
      <c r="H732" s="55"/>
    </row>
    <row r="733" spans="7:8" ht="12.75">
      <c r="G733" s="55"/>
      <c r="H733" s="55"/>
    </row>
    <row r="734" spans="7:8" ht="12.75">
      <c r="G734" s="55"/>
      <c r="H734" s="55"/>
    </row>
    <row r="735" spans="7:8" ht="12.75">
      <c r="G735" s="55"/>
      <c r="H735" s="55"/>
    </row>
    <row r="736" spans="7:8" ht="12.75">
      <c r="G736" s="55"/>
      <c r="H736" s="55"/>
    </row>
    <row r="737" spans="7:8" ht="12.75">
      <c r="G737" s="55"/>
      <c r="H737" s="55"/>
    </row>
    <row r="738" spans="7:8" ht="12.75">
      <c r="G738" s="55"/>
      <c r="H738" s="55"/>
    </row>
    <row r="739" spans="7:8" ht="12.75">
      <c r="G739" s="55"/>
      <c r="H739" s="55"/>
    </row>
    <row r="740" spans="7:8" ht="12.75">
      <c r="G740" s="55"/>
      <c r="H740" s="55"/>
    </row>
    <row r="741" spans="7:8" ht="12.75">
      <c r="G741" s="55"/>
      <c r="H741" s="55"/>
    </row>
    <row r="742" spans="7:8" ht="12.75">
      <c r="G742" s="55"/>
      <c r="H742" s="55"/>
    </row>
    <row r="743" spans="7:8" ht="12.75">
      <c r="G743" s="55"/>
      <c r="H743" s="55"/>
    </row>
    <row r="744" spans="7:8" ht="12.75">
      <c r="G744" s="55"/>
      <c r="H744" s="55"/>
    </row>
    <row r="745" spans="7:8" ht="12.75">
      <c r="G745" s="55"/>
      <c r="H745" s="55"/>
    </row>
    <row r="746" spans="7:8" ht="12.75">
      <c r="G746" s="55"/>
      <c r="H746" s="55"/>
    </row>
    <row r="747" spans="7:8" ht="12.75">
      <c r="G747" s="55"/>
      <c r="H747" s="55"/>
    </row>
    <row r="748" spans="7:8" ht="12.75">
      <c r="G748" s="55"/>
      <c r="H748" s="55"/>
    </row>
    <row r="749" spans="7:8" ht="12.75">
      <c r="G749" s="55"/>
      <c r="H749" s="55"/>
    </row>
    <row r="750" spans="7:8" ht="12.75">
      <c r="G750" s="55"/>
      <c r="H750" s="55"/>
    </row>
    <row r="751" spans="7:8" ht="12.75">
      <c r="G751" s="55"/>
      <c r="H751" s="55"/>
    </row>
    <row r="752" spans="7:8" ht="12.75">
      <c r="G752" s="55"/>
      <c r="H752" s="55"/>
    </row>
    <row r="753" spans="7:8" ht="12.75">
      <c r="G753" s="55"/>
      <c r="H753" s="55"/>
    </row>
    <row r="754" spans="7:8" ht="12.75">
      <c r="G754" s="55"/>
      <c r="H754" s="55"/>
    </row>
    <row r="755" spans="7:8" ht="12.75">
      <c r="G755" s="55"/>
      <c r="H755" s="55"/>
    </row>
    <row r="756" spans="7:8" ht="12.75">
      <c r="G756" s="55"/>
      <c r="H756" s="55"/>
    </row>
    <row r="757" spans="7:8" ht="12.75">
      <c r="G757" s="55"/>
      <c r="H757" s="55"/>
    </row>
    <row r="758" spans="7:8" ht="12.75">
      <c r="G758" s="55"/>
      <c r="H758" s="55"/>
    </row>
    <row r="759" spans="7:8" ht="12.75">
      <c r="G759" s="55"/>
      <c r="H759" s="55"/>
    </row>
    <row r="760" spans="7:8" ht="12.75">
      <c r="G760" s="55"/>
      <c r="H760" s="55"/>
    </row>
    <row r="761" spans="7:8" ht="12.75">
      <c r="G761" s="55"/>
      <c r="H761" s="55"/>
    </row>
    <row r="762" spans="7:8" ht="12.75">
      <c r="G762" s="55"/>
      <c r="H762" s="55"/>
    </row>
    <row r="763" spans="7:8" ht="12.75">
      <c r="G763" s="55"/>
      <c r="H763" s="55"/>
    </row>
    <row r="764" spans="7:8" ht="12.75">
      <c r="G764" s="55"/>
      <c r="H764" s="55"/>
    </row>
    <row r="765" spans="7:8" ht="12.75">
      <c r="G765" s="55"/>
      <c r="H765" s="55"/>
    </row>
    <row r="766" spans="7:8" ht="12.75">
      <c r="G766" s="55"/>
      <c r="H766" s="55"/>
    </row>
    <row r="767" spans="7:8" ht="12.75">
      <c r="G767" s="55"/>
      <c r="H767" s="55"/>
    </row>
    <row r="768" spans="7:8" ht="12.75">
      <c r="G768" s="55"/>
      <c r="H768" s="55"/>
    </row>
    <row r="769" spans="7:8" ht="12.75">
      <c r="G769" s="55"/>
      <c r="H769" s="55"/>
    </row>
    <row r="770" spans="7:8" ht="12.75">
      <c r="G770" s="55"/>
      <c r="H770" s="55"/>
    </row>
    <row r="771" spans="7:8" ht="12.75">
      <c r="G771" s="55"/>
      <c r="H771" s="55"/>
    </row>
    <row r="772" spans="7:8" ht="12.75">
      <c r="G772" s="55"/>
      <c r="H772" s="55"/>
    </row>
    <row r="773" spans="7:8" ht="12.75">
      <c r="G773" s="55"/>
      <c r="H773" s="55"/>
    </row>
    <row r="774" spans="7:8" ht="12.75">
      <c r="G774" s="55"/>
      <c r="H774" s="55"/>
    </row>
    <row r="775" spans="7:8" ht="12.75">
      <c r="G775" s="55"/>
      <c r="H775" s="55"/>
    </row>
    <row r="776" spans="7:8" ht="12.75">
      <c r="G776" s="55"/>
      <c r="H776" s="55"/>
    </row>
    <row r="777" spans="7:8" ht="12.75">
      <c r="G777" s="55"/>
      <c r="H777" s="55"/>
    </row>
    <row r="778" spans="7:8" ht="12.75">
      <c r="G778" s="55"/>
      <c r="H778" s="55"/>
    </row>
    <row r="779" spans="7:8" ht="12.75">
      <c r="G779" s="55"/>
      <c r="H779" s="55"/>
    </row>
    <row r="780" spans="7:8" ht="12.75">
      <c r="G780" s="55"/>
      <c r="H780" s="55"/>
    </row>
    <row r="781" spans="7:8" ht="12.75">
      <c r="G781" s="55"/>
      <c r="H781" s="55"/>
    </row>
    <row r="782" spans="7:8" ht="12.75">
      <c r="G782" s="55"/>
      <c r="H782" s="55"/>
    </row>
    <row r="783" spans="7:8" ht="12.75">
      <c r="G783" s="55"/>
      <c r="H783" s="55"/>
    </row>
    <row r="784" spans="7:8" ht="12.75">
      <c r="G784" s="55"/>
      <c r="H784" s="55"/>
    </row>
    <row r="785" spans="7:8" ht="12.75">
      <c r="G785" s="55"/>
      <c r="H785" s="55"/>
    </row>
    <row r="786" spans="7:8" ht="12.75">
      <c r="G786" s="55"/>
      <c r="H786" s="55"/>
    </row>
    <row r="787" spans="7:8" ht="12.75">
      <c r="G787" s="55"/>
      <c r="H787" s="55"/>
    </row>
    <row r="788" spans="7:8" ht="12.75">
      <c r="G788" s="55"/>
      <c r="H788" s="55"/>
    </row>
    <row r="789" spans="7:8" ht="12.75">
      <c r="G789" s="55"/>
      <c r="H789" s="55"/>
    </row>
    <row r="790" spans="7:8" ht="12.75">
      <c r="G790" s="55"/>
      <c r="H790" s="55"/>
    </row>
    <row r="791" spans="7:8" ht="12.75">
      <c r="G791" s="55"/>
      <c r="H791" s="55"/>
    </row>
    <row r="792" spans="7:8" ht="12.75">
      <c r="G792" s="55"/>
      <c r="H792" s="55"/>
    </row>
    <row r="793" spans="7:8" ht="12.75">
      <c r="G793" s="55"/>
      <c r="H793" s="55"/>
    </row>
    <row r="794" spans="7:8" ht="12.75">
      <c r="G794" s="55"/>
      <c r="H794" s="55"/>
    </row>
    <row r="795" spans="7:8" ht="12.75">
      <c r="G795" s="55"/>
      <c r="H795" s="55"/>
    </row>
    <row r="796" spans="7:8" ht="12.75">
      <c r="G796" s="55"/>
      <c r="H796" s="55"/>
    </row>
    <row r="797" spans="7:8" ht="12.75">
      <c r="G797" s="55"/>
      <c r="H797" s="55"/>
    </row>
    <row r="798" spans="7:8" ht="12.75">
      <c r="G798" s="55"/>
      <c r="H798" s="55"/>
    </row>
    <row r="799" spans="7:8" ht="12.75">
      <c r="G799" s="55"/>
      <c r="H799" s="55"/>
    </row>
    <row r="800" spans="7:8" ht="12.75">
      <c r="G800" s="55"/>
      <c r="H800" s="55"/>
    </row>
    <row r="801" spans="7:8" ht="12.75">
      <c r="G801" s="55"/>
      <c r="H801" s="55"/>
    </row>
    <row r="802" spans="7:8" ht="12.75">
      <c r="G802" s="55"/>
      <c r="H802" s="55"/>
    </row>
    <row r="803" spans="7:8" ht="12.75">
      <c r="G803" s="55"/>
      <c r="H803" s="55"/>
    </row>
    <row r="804" spans="7:8" ht="12.75">
      <c r="G804" s="55"/>
      <c r="H804" s="55"/>
    </row>
    <row r="805" spans="7:8" ht="12.75">
      <c r="G805" s="55"/>
      <c r="H805" s="55"/>
    </row>
    <row r="806" spans="7:8" ht="12.75">
      <c r="G806" s="55"/>
      <c r="H806" s="55"/>
    </row>
    <row r="807" spans="7:8" ht="12.75">
      <c r="G807" s="55"/>
      <c r="H807" s="55"/>
    </row>
    <row r="808" spans="7:8" ht="12.75">
      <c r="G808" s="55"/>
      <c r="H808" s="55"/>
    </row>
    <row r="809" spans="7:8" ht="12.75">
      <c r="G809" s="55"/>
      <c r="H809" s="55"/>
    </row>
    <row r="810" spans="7:8" ht="12.75">
      <c r="G810" s="55"/>
      <c r="H810" s="55"/>
    </row>
    <row r="811" spans="7:8" ht="12.75">
      <c r="G811" s="55"/>
      <c r="H811" s="55"/>
    </row>
    <row r="812" spans="7:8" ht="12.75">
      <c r="G812" s="55"/>
      <c r="H812" s="55"/>
    </row>
    <row r="813" spans="7:8" ht="12.75">
      <c r="G813" s="55"/>
      <c r="H813" s="55"/>
    </row>
    <row r="814" spans="7:8" ht="12.75">
      <c r="G814" s="55"/>
      <c r="H814" s="55"/>
    </row>
    <row r="815" spans="7:8" ht="12.75">
      <c r="G815" s="55"/>
      <c r="H815" s="55"/>
    </row>
    <row r="816" spans="7:8" ht="12.75">
      <c r="G816" s="55"/>
      <c r="H816" s="55"/>
    </row>
    <row r="817" spans="7:8" ht="12.75">
      <c r="G817" s="55"/>
      <c r="H817" s="55"/>
    </row>
    <row r="818" spans="7:8" ht="12.75">
      <c r="G818" s="55"/>
      <c r="H818" s="55"/>
    </row>
    <row r="819" spans="7:8" ht="12.75">
      <c r="G819" s="55"/>
      <c r="H819" s="55"/>
    </row>
    <row r="820" spans="7:8" ht="12.75">
      <c r="G820" s="55"/>
      <c r="H820" s="55"/>
    </row>
    <row r="821" spans="7:8" ht="12.75">
      <c r="G821" s="55"/>
      <c r="H821" s="55"/>
    </row>
    <row r="822" spans="7:8" ht="12.75">
      <c r="G822" s="55"/>
      <c r="H822" s="55"/>
    </row>
    <row r="823" spans="7:8" ht="12.75">
      <c r="G823" s="55"/>
      <c r="H823" s="55"/>
    </row>
    <row r="824" spans="7:8" ht="12.75">
      <c r="G824" s="55"/>
      <c r="H824" s="55"/>
    </row>
    <row r="825" spans="7:8" ht="12.75">
      <c r="G825" s="55"/>
      <c r="H825" s="55"/>
    </row>
    <row r="826" spans="7:8" ht="12.75">
      <c r="G826" s="55"/>
      <c r="H826" s="55"/>
    </row>
    <row r="827" spans="7:8" ht="12.75">
      <c r="G827" s="55"/>
      <c r="H827" s="55"/>
    </row>
    <row r="828" spans="7:8" ht="12.75">
      <c r="G828" s="55"/>
      <c r="H828" s="55"/>
    </row>
    <row r="829" spans="7:8" ht="12.75">
      <c r="G829" s="55"/>
      <c r="H829" s="55"/>
    </row>
    <row r="830" spans="7:8" ht="12.75">
      <c r="G830" s="55"/>
      <c r="H830" s="55"/>
    </row>
    <row r="831" spans="7:8" ht="12.75">
      <c r="G831" s="55"/>
      <c r="H831" s="55"/>
    </row>
    <row r="832" spans="7:8" ht="12.75">
      <c r="G832" s="55"/>
      <c r="H832" s="55"/>
    </row>
    <row r="833" spans="7:8" ht="12.75">
      <c r="G833" s="55"/>
      <c r="H833" s="55"/>
    </row>
    <row r="834" spans="7:8" ht="12.75">
      <c r="G834" s="55"/>
      <c r="H834" s="55"/>
    </row>
    <row r="835" spans="7:8" ht="12.75">
      <c r="G835" s="55"/>
      <c r="H835" s="55"/>
    </row>
    <row r="836" spans="7:8" ht="12.75">
      <c r="G836" s="55"/>
      <c r="H836" s="55"/>
    </row>
    <row r="837" spans="7:8" ht="12.75">
      <c r="G837" s="55"/>
      <c r="H837" s="55"/>
    </row>
    <row r="838" spans="7:8" ht="12.75">
      <c r="G838" s="55"/>
      <c r="H838" s="55"/>
    </row>
    <row r="839" spans="7:8" ht="12.75">
      <c r="G839" s="55"/>
      <c r="H839" s="55"/>
    </row>
    <row r="840" spans="7:8" ht="12.75">
      <c r="G840" s="55"/>
      <c r="H840" s="55"/>
    </row>
    <row r="841" spans="7:8" ht="12.75">
      <c r="G841" s="55"/>
      <c r="H841" s="55"/>
    </row>
    <row r="842" spans="7:8" ht="12.75">
      <c r="G842" s="55"/>
      <c r="H842" s="55"/>
    </row>
    <row r="843" spans="7:8" ht="12.75">
      <c r="G843" s="55"/>
      <c r="H843" s="55"/>
    </row>
    <row r="844" spans="7:8" ht="12.75">
      <c r="G844" s="55"/>
      <c r="H844" s="55"/>
    </row>
    <row r="845" spans="7:8" ht="12.75">
      <c r="G845" s="55"/>
      <c r="H845" s="55"/>
    </row>
    <row r="846" spans="7:8" ht="12.75">
      <c r="G846" s="55"/>
      <c r="H846" s="55"/>
    </row>
    <row r="847" spans="7:8" ht="12.75">
      <c r="G847" s="55"/>
      <c r="H847" s="55"/>
    </row>
    <row r="848" spans="7:8" ht="12.75">
      <c r="G848" s="55"/>
      <c r="H848" s="55"/>
    </row>
    <row r="849" spans="7:8" ht="12.75">
      <c r="G849" s="55"/>
      <c r="H849" s="55"/>
    </row>
    <row r="850" spans="7:8" ht="12.75">
      <c r="G850" s="55"/>
      <c r="H850" s="55"/>
    </row>
    <row r="851" spans="7:8" ht="12.75">
      <c r="G851" s="55"/>
      <c r="H851" s="55"/>
    </row>
    <row r="852" spans="7:8" ht="12.75">
      <c r="G852" s="55"/>
      <c r="H852" s="55"/>
    </row>
    <row r="853" spans="7:8" ht="12.75">
      <c r="G853" s="55"/>
      <c r="H853" s="55"/>
    </row>
    <row r="854" spans="7:8" ht="12.75">
      <c r="G854" s="55"/>
      <c r="H854" s="55"/>
    </row>
    <row r="855" spans="7:8" ht="12.75">
      <c r="G855" s="55"/>
      <c r="H855" s="55"/>
    </row>
    <row r="856" spans="7:8" ht="12.75">
      <c r="G856" s="55"/>
      <c r="H856" s="55"/>
    </row>
    <row r="857" spans="7:8" ht="12.75">
      <c r="G857" s="55"/>
      <c r="H857" s="55"/>
    </row>
    <row r="858" spans="7:8" ht="12.75">
      <c r="G858" s="55"/>
      <c r="H858" s="55"/>
    </row>
    <row r="859" spans="7:8" ht="12.75">
      <c r="G859" s="55"/>
      <c r="H859" s="55"/>
    </row>
    <row r="860" spans="7:8" ht="12.75">
      <c r="G860" s="55"/>
      <c r="H860" s="55"/>
    </row>
    <row r="861" spans="7:8" ht="12.75">
      <c r="G861" s="55"/>
      <c r="H861" s="55"/>
    </row>
    <row r="862" spans="7:8" ht="12.75">
      <c r="G862" s="55"/>
      <c r="H862" s="55"/>
    </row>
    <row r="863" spans="7:8" ht="12.75">
      <c r="G863" s="55"/>
      <c r="H863" s="55"/>
    </row>
    <row r="864" spans="7:8" ht="12.75">
      <c r="G864" s="55"/>
      <c r="H864" s="55"/>
    </row>
    <row r="865" spans="7:8" ht="12.75">
      <c r="G865" s="55"/>
      <c r="H865" s="55"/>
    </row>
    <row r="866" spans="7:8" ht="12.75">
      <c r="G866" s="55"/>
      <c r="H866" s="55"/>
    </row>
    <row r="867" spans="7:8" ht="12.75">
      <c r="G867" s="55"/>
      <c r="H867" s="55"/>
    </row>
    <row r="868" spans="7:8" ht="12.75">
      <c r="G868" s="55"/>
      <c r="H868" s="55"/>
    </row>
    <row r="869" spans="7:8" ht="12.75">
      <c r="G869" s="55"/>
      <c r="H869" s="55"/>
    </row>
    <row r="870" spans="7:8" ht="12.75">
      <c r="G870" s="55"/>
      <c r="H870" s="55"/>
    </row>
    <row r="871" spans="7:8" ht="12.75">
      <c r="G871" s="55"/>
      <c r="H871" s="55"/>
    </row>
    <row r="872" spans="7:8" ht="12.75">
      <c r="G872" s="55"/>
      <c r="H872" s="55"/>
    </row>
    <row r="873" spans="7:8" ht="12.75">
      <c r="G873" s="55"/>
      <c r="H873" s="55"/>
    </row>
    <row r="874" spans="7:8" ht="12.75">
      <c r="G874" s="55"/>
      <c r="H874" s="55"/>
    </row>
    <row r="875" spans="7:8" ht="12.75">
      <c r="G875" s="55"/>
      <c r="H875" s="55"/>
    </row>
    <row r="876" spans="7:8" ht="12.75">
      <c r="G876" s="55"/>
      <c r="H876" s="55"/>
    </row>
    <row r="877" spans="7:8" ht="12.75">
      <c r="G877" s="55"/>
      <c r="H877" s="55"/>
    </row>
    <row r="878" spans="7:8" ht="12.75">
      <c r="G878" s="55"/>
      <c r="H878" s="55"/>
    </row>
    <row r="879" spans="7:8" ht="12.75">
      <c r="G879" s="55"/>
      <c r="H879" s="55"/>
    </row>
    <row r="880" spans="7:8" ht="12.75">
      <c r="G880" s="55"/>
      <c r="H880" s="55"/>
    </row>
    <row r="881" spans="7:8" ht="12.75">
      <c r="G881" s="55"/>
      <c r="H881" s="55"/>
    </row>
    <row r="882" spans="7:8" ht="12.75">
      <c r="G882" s="55"/>
      <c r="H882" s="55"/>
    </row>
    <row r="883" spans="7:8" ht="12.75">
      <c r="G883" s="55"/>
      <c r="H883" s="55"/>
    </row>
    <row r="884" spans="7:8" ht="12.75">
      <c r="G884" s="55"/>
      <c r="H884" s="55"/>
    </row>
    <row r="885" spans="7:8" ht="12.75">
      <c r="G885" s="55"/>
      <c r="H885" s="55"/>
    </row>
    <row r="886" spans="7:8" ht="12.75">
      <c r="G886" s="55"/>
      <c r="H886" s="55"/>
    </row>
    <row r="887" spans="7:8" ht="12.75">
      <c r="G887" s="55"/>
      <c r="H887" s="55"/>
    </row>
    <row r="888" spans="7:8" ht="12.75">
      <c r="G888" s="55"/>
      <c r="H888" s="55"/>
    </row>
    <row r="889" spans="7:8" ht="12.75">
      <c r="G889" s="55"/>
      <c r="H889" s="55"/>
    </row>
    <row r="890" spans="7:8" ht="12.75">
      <c r="G890" s="55"/>
      <c r="H890" s="55"/>
    </row>
    <row r="891" spans="7:8" ht="12.75">
      <c r="G891" s="55"/>
      <c r="H891" s="55"/>
    </row>
    <row r="892" spans="7:8" ht="12.75">
      <c r="G892" s="55"/>
      <c r="H892" s="55"/>
    </row>
    <row r="893" spans="7:8" ht="12.75">
      <c r="G893" s="55"/>
      <c r="H893" s="55"/>
    </row>
    <row r="894" spans="7:8" ht="12.75">
      <c r="G894" s="55"/>
      <c r="H894" s="55"/>
    </row>
    <row r="895" spans="7:8" ht="12.75">
      <c r="G895" s="55"/>
      <c r="H895" s="55"/>
    </row>
    <row r="896" spans="7:8" ht="12.75">
      <c r="G896" s="55"/>
      <c r="H896" s="55"/>
    </row>
    <row r="897" spans="7:8" ht="12.75">
      <c r="G897" s="55"/>
      <c r="H897" s="55"/>
    </row>
    <row r="898" spans="7:8" ht="12.75">
      <c r="G898" s="55"/>
      <c r="H898" s="55"/>
    </row>
    <row r="899" spans="7:8" ht="12.75">
      <c r="G899" s="55"/>
      <c r="H899" s="55"/>
    </row>
    <row r="900" spans="7:8" ht="12.75">
      <c r="G900" s="55"/>
      <c r="H900" s="55"/>
    </row>
    <row r="901" spans="7:8" ht="12.75">
      <c r="G901" s="55"/>
      <c r="H901" s="55"/>
    </row>
    <row r="902" spans="7:8" ht="12.75">
      <c r="G902" s="55"/>
      <c r="H902" s="55"/>
    </row>
    <row r="903" spans="7:8" ht="12.75">
      <c r="G903" s="55"/>
      <c r="H903" s="55"/>
    </row>
    <row r="904" spans="7:8" ht="12.75">
      <c r="G904" s="55"/>
      <c r="H904" s="55"/>
    </row>
    <row r="905" spans="7:8" ht="12.75">
      <c r="G905" s="55"/>
      <c r="H905" s="55"/>
    </row>
    <row r="906" spans="7:8" ht="12.75">
      <c r="G906" s="55"/>
      <c r="H906" s="55"/>
    </row>
    <row r="907" spans="7:8" ht="12.75">
      <c r="G907" s="55"/>
      <c r="H907" s="55"/>
    </row>
    <row r="908" spans="7:8" ht="12.75">
      <c r="G908" s="55"/>
      <c r="H908" s="55"/>
    </row>
    <row r="909" spans="7:8" ht="12.75">
      <c r="G909" s="55"/>
      <c r="H909" s="55"/>
    </row>
    <row r="910" spans="7:8" ht="12.75">
      <c r="G910" s="55"/>
      <c r="H910" s="55"/>
    </row>
    <row r="911" spans="7:8" ht="12.75">
      <c r="G911" s="55"/>
      <c r="H911" s="55"/>
    </row>
    <row r="912" spans="7:8" ht="12.75">
      <c r="G912" s="55"/>
      <c r="H912" s="55"/>
    </row>
    <row r="913" spans="7:8" ht="12.75">
      <c r="G913" s="55"/>
      <c r="H913" s="55"/>
    </row>
    <row r="914" spans="7:8" ht="12.75">
      <c r="G914" s="55"/>
      <c r="H914" s="55"/>
    </row>
    <row r="915" spans="7:8" ht="12.75">
      <c r="G915" s="55"/>
      <c r="H915" s="55"/>
    </row>
    <row r="916" spans="7:8" ht="12.75">
      <c r="G916" s="55"/>
      <c r="H916" s="55"/>
    </row>
    <row r="917" spans="7:8" ht="12.75">
      <c r="G917" s="55"/>
      <c r="H917" s="55"/>
    </row>
    <row r="918" spans="7:8" ht="12.75">
      <c r="G918" s="55"/>
      <c r="H918" s="55"/>
    </row>
    <row r="919" spans="7:8" ht="12.75">
      <c r="G919" s="55"/>
      <c r="H919" s="55"/>
    </row>
    <row r="920" spans="7:8" ht="12.75">
      <c r="G920" s="55"/>
      <c r="H920" s="55"/>
    </row>
    <row r="921" spans="7:8" ht="12.75">
      <c r="G921" s="55"/>
      <c r="H921" s="55"/>
    </row>
    <row r="922" spans="7:8" ht="12.75">
      <c r="G922" s="55"/>
      <c r="H922" s="55"/>
    </row>
    <row r="923" spans="7:8" ht="12.75">
      <c r="G923" s="55"/>
      <c r="H923" s="55"/>
    </row>
    <row r="924" spans="7:8" ht="12.75">
      <c r="G924" s="55"/>
      <c r="H924" s="55"/>
    </row>
    <row r="925" spans="7:8" ht="12.75">
      <c r="G925" s="55"/>
      <c r="H925" s="55"/>
    </row>
    <row r="926" spans="7:8" ht="12.75">
      <c r="G926" s="55"/>
      <c r="H926" s="55"/>
    </row>
    <row r="927" spans="7:8" ht="12.75">
      <c r="G927" s="55"/>
      <c r="H927" s="55"/>
    </row>
    <row r="928" spans="7:8" ht="12.75">
      <c r="G928" s="55"/>
      <c r="H928" s="55"/>
    </row>
    <row r="929" spans="7:8" ht="12.75">
      <c r="G929" s="55"/>
      <c r="H929" s="55"/>
    </row>
    <row r="930" spans="7:8" ht="12.75">
      <c r="G930" s="55"/>
      <c r="H930" s="55"/>
    </row>
    <row r="931" spans="7:8" ht="12.75">
      <c r="G931" s="55"/>
      <c r="H931" s="55"/>
    </row>
    <row r="932" spans="7:8" ht="12.75">
      <c r="G932" s="55"/>
      <c r="H932" s="55"/>
    </row>
    <row r="933" spans="7:8" ht="12.75">
      <c r="G933" s="55"/>
      <c r="H933" s="55"/>
    </row>
    <row r="934" spans="7:8" ht="12.75">
      <c r="G934" s="55"/>
      <c r="H934" s="55"/>
    </row>
    <row r="935" spans="7:8" ht="12.75">
      <c r="G935" s="55"/>
      <c r="H935" s="55"/>
    </row>
    <row r="936" spans="7:8" ht="12.75">
      <c r="G936" s="55"/>
      <c r="H936" s="55"/>
    </row>
    <row r="937" spans="7:8" ht="12.75">
      <c r="G937" s="55"/>
      <c r="H937" s="55"/>
    </row>
    <row r="938" spans="7:8" ht="12.75">
      <c r="G938" s="55"/>
      <c r="H938" s="55"/>
    </row>
    <row r="939" spans="7:8" ht="12.75">
      <c r="G939" s="55"/>
      <c r="H939" s="55"/>
    </row>
    <row r="940" spans="7:8" ht="12.75">
      <c r="G940" s="55"/>
      <c r="H940" s="55"/>
    </row>
    <row r="941" spans="7:8" ht="12.75">
      <c r="G941" s="55"/>
      <c r="H941" s="55"/>
    </row>
    <row r="942" spans="7:8" ht="12.75">
      <c r="G942" s="55"/>
      <c r="H942" s="55"/>
    </row>
    <row r="943" spans="7:8" ht="12.75">
      <c r="G943" s="55"/>
      <c r="H943" s="55"/>
    </row>
    <row r="944" spans="7:8" ht="12.75">
      <c r="G944" s="55"/>
      <c r="H944" s="55"/>
    </row>
    <row r="945" spans="7:8" ht="12.75">
      <c r="G945" s="55"/>
      <c r="H945" s="55"/>
    </row>
    <row r="946" spans="7:8" ht="12.75">
      <c r="G946" s="55"/>
      <c r="H946" s="55"/>
    </row>
    <row r="947" spans="7:8" ht="12.75">
      <c r="G947" s="55"/>
      <c r="H947" s="55"/>
    </row>
    <row r="948" spans="7:8" ht="12.75">
      <c r="G948" s="55"/>
      <c r="H948" s="55"/>
    </row>
    <row r="949" spans="7:8" ht="12.75">
      <c r="G949" s="55"/>
      <c r="H949" s="55"/>
    </row>
    <row r="950" spans="7:8" ht="12.75">
      <c r="G950" s="55"/>
      <c r="H950" s="55"/>
    </row>
    <row r="951" spans="7:8" ht="12.75">
      <c r="G951" s="55"/>
      <c r="H951" s="55"/>
    </row>
    <row r="952" spans="7:8" ht="12.75">
      <c r="G952" s="55"/>
      <c r="H952" s="55"/>
    </row>
    <row r="953" spans="7:8" ht="12.75">
      <c r="G953" s="55"/>
      <c r="H953" s="55"/>
    </row>
    <row r="954" spans="7:8" ht="12.75">
      <c r="G954" s="55"/>
      <c r="H954" s="55"/>
    </row>
    <row r="955" spans="7:8" ht="12.75">
      <c r="G955" s="55"/>
      <c r="H955" s="55"/>
    </row>
    <row r="956" spans="7:8" ht="12.75">
      <c r="G956" s="55"/>
      <c r="H956" s="55"/>
    </row>
    <row r="957" spans="7:8" ht="12.75">
      <c r="G957" s="55"/>
      <c r="H957" s="55"/>
    </row>
    <row r="958" spans="7:8" ht="12.75">
      <c r="G958" s="55"/>
      <c r="H958" s="55"/>
    </row>
    <row r="959" spans="7:8" ht="12.75">
      <c r="G959" s="55"/>
      <c r="H959" s="55"/>
    </row>
    <row r="960" spans="7:8" ht="12.75">
      <c r="G960" s="55"/>
      <c r="H960" s="55"/>
    </row>
    <row r="961" spans="7:8" ht="12.75">
      <c r="G961" s="55"/>
      <c r="H961" s="55"/>
    </row>
    <row r="962" spans="7:8" ht="12.75">
      <c r="G962" s="55"/>
      <c r="H962" s="55"/>
    </row>
    <row r="963" spans="7:8" ht="12.75">
      <c r="G963" s="55"/>
      <c r="H963" s="55"/>
    </row>
    <row r="964" spans="7:8" ht="12.75">
      <c r="G964" s="55"/>
      <c r="H964" s="55"/>
    </row>
    <row r="965" spans="7:8" ht="12.75">
      <c r="G965" s="55"/>
      <c r="H965" s="55"/>
    </row>
    <row r="966" spans="7:8" ht="12.75">
      <c r="G966" s="55"/>
      <c r="H966" s="55"/>
    </row>
    <row r="967" spans="7:8" ht="12.75">
      <c r="G967" s="55"/>
      <c r="H967" s="55"/>
    </row>
    <row r="968" spans="7:8" ht="12.75">
      <c r="G968" s="55"/>
      <c r="H968" s="55"/>
    </row>
    <row r="969" spans="7:8" ht="12.75">
      <c r="G969" s="55"/>
      <c r="H969" s="55"/>
    </row>
    <row r="970" spans="7:8" ht="12.75">
      <c r="G970" s="55"/>
      <c r="H970" s="55"/>
    </row>
    <row r="971" spans="7:8" ht="12.75">
      <c r="G971" s="55"/>
      <c r="H971" s="55"/>
    </row>
    <row r="972" spans="7:8" ht="12.75">
      <c r="G972" s="55"/>
      <c r="H972" s="55"/>
    </row>
    <row r="973" spans="7:8" ht="12.75">
      <c r="G973" s="55"/>
      <c r="H973" s="55"/>
    </row>
    <row r="974" spans="7:8" ht="12.75">
      <c r="G974" s="55"/>
      <c r="H974" s="55"/>
    </row>
    <row r="975" spans="7:8" ht="12.75">
      <c r="G975" s="55"/>
      <c r="H975" s="55"/>
    </row>
    <row r="976" spans="7:8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</sheetData>
  <dataValidations count="3">
    <dataValidation type="date" operator="greaterThan" allowBlank="1" showDropDown="1" showInputMessage="1" showErrorMessage="1" prompt="Introduce una fecha. después del 10/2022" sqref="G2:G6">
      <formula1>44835</formula1>
    </dataValidation>
    <dataValidation type="list" allowBlank="1" showInputMessage="1" showErrorMessage="1" prompt="Haz clic e introduce un valor de intervalo Equipo!I2:I27" sqref="F2:F6">
      <formula1>#REF!</formula1>
    </dataValidation>
    <dataValidation type="custom" allowBlank="1" showDropDown="1" showInputMessage="1" showErrorMessage="1" prompt="La Actividad no puede terminar sin haber iniciado" sqref="H2:H6">
      <formula1>H2&gt;=G2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Trabajo</vt:lpstr>
      <vt:lpstr>Equipo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 ANTONIO ROMERO MONSALVE</cp:lastModifiedBy>
  <dcterms:modified xsi:type="dcterms:W3CDTF">2024-01-10T18:32:28Z</dcterms:modified>
</cp:coreProperties>
</file>