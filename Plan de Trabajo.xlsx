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rabajo" sheetId="1" r:id="rId4"/>
    <sheet state="visible" name="Equipo" sheetId="2" r:id="rId5"/>
  </sheets>
  <definedNames>
    <definedName hidden="1" localSheetId="0" name="Z_D33CB927_E62E_4225_8B0A_731E3465C439_.wvu.FilterData">'Plan de Trabajo'!$A$1:$AD$367</definedName>
    <definedName hidden="1" localSheetId="0" name="Z_FABC5D04_005C_45B3_852B_CCA608651A9B_.wvu.FilterData">'Plan de Trabajo'!$A$1:$AD$367</definedName>
    <definedName hidden="1" localSheetId="0" name="Z_9FFCB66D_EDD9_4DCC_98D0_DD2139B10787_.wvu.FilterData">'Plan de Trabajo'!$A$1:$AD$367</definedName>
    <definedName hidden="1" localSheetId="0" name="Z_7CE8F55E_D06B_4272_AD97_D6139BF3D1C4_.wvu.FilterData">'Plan de Trabajo'!$A$87:$AD$367</definedName>
  </definedNames>
  <calcPr/>
  <customWorkbookViews>
    <customWorkbookView activeSheetId="0" maximized="1" windowHeight="0" windowWidth="0" guid="{FABC5D04-005C-45B3-852B-CCA608651A9B}" name="Filtro 4"/>
    <customWorkbookView activeSheetId="0" maximized="1" windowHeight="0" windowWidth="0" guid="{7CE8F55E-D06B-4272-AD97-D6139BF3D1C4}" name="Filtro 1"/>
    <customWorkbookView activeSheetId="0" maximized="1" windowHeight="0" windowWidth="0" guid="{9FFCB66D-EDD9-4DCC-98D0-DD2139B10787}" name="Filtro 2"/>
    <customWorkbookView activeSheetId="0" maximized="1" windowHeight="0" windowWidth="0" guid="{D33CB927-E62E-4225-8B0A-731E3465C439}" name="Filtro 3"/>
  </customWorkbookViews>
  <extLst>
    <ext uri="GoogleSheetsCustomDataVersion2">
      <go:sheetsCustomData xmlns:go="http://customooxmlschemas.google.com/" r:id="rId6" roundtripDataChecksum="xTU3I06snNimmvXb6FOAx6t5C3DyLdjx8wOYelR0P/M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======
ID#AAABEGuftcY
    (2024-01-15 23:11:26)
inicia Servicio el 24/01/23
	-OSCAR EDILBERTO MESA TRUJILLO</t>
      </text>
    </comment>
  </commentList>
  <extLst>
    <ext uri="GoogleSheetsCustomDataVersion2">
      <go:sheetsCustomData xmlns:go="http://customooxmlschemas.google.com/" r:id="rId1" roundtripDataSignature="AMtx7mhInobDG0jF8+TQVRghf38Jl+HXPA=="/>
    </ext>
  </extLst>
</comments>
</file>

<file path=xl/sharedStrings.xml><?xml version="1.0" encoding="utf-8"?>
<sst xmlns="http://schemas.openxmlformats.org/spreadsheetml/2006/main" count="824" uniqueCount="395">
  <si>
    <t>Ítem</t>
  </si>
  <si>
    <t>Feature</t>
  </si>
  <si>
    <t>Actividad</t>
  </si>
  <si>
    <t>Responsable</t>
  </si>
  <si>
    <t>Tecnologia</t>
  </si>
  <si>
    <t>Fecha Inicio
Planificada</t>
  </si>
  <si>
    <t>Fecha Fin
Planificada</t>
  </si>
  <si>
    <t>Fecha Inicio
Real</t>
  </si>
  <si>
    <t>Fecha Fin
Real</t>
  </si>
  <si>
    <t>Dependencia/Comentarios</t>
  </si>
  <si>
    <t>ESTADO</t>
  </si>
  <si>
    <t>Avance
Real</t>
  </si>
  <si>
    <t>Avance
Esperado</t>
  </si>
  <si>
    <t>Dias</t>
  </si>
  <si>
    <t>0</t>
  </si>
  <si>
    <t>ETPB</t>
  </si>
  <si>
    <t>Enterprise Transactional Processing Backends</t>
  </si>
  <si>
    <t>EQ - DRACARYS</t>
  </si>
  <si>
    <t>1</t>
  </si>
  <si>
    <t>DEFINICION</t>
  </si>
  <si>
    <t>1.1</t>
  </si>
  <si>
    <t>Entendimiento</t>
  </si>
  <si>
    <t>Entendimiento Funcional</t>
  </si>
  <si>
    <t>SCRUM</t>
  </si>
  <si>
    <t>1.2</t>
  </si>
  <si>
    <t>Entendimiento Tecnico</t>
  </si>
  <si>
    <t>2</t>
  </si>
  <si>
    <t>PLANEACION</t>
  </si>
  <si>
    <t>2.1</t>
  </si>
  <si>
    <t>Inputs</t>
  </si>
  <si>
    <t>2.1.1</t>
  </si>
  <si>
    <t>FARIT</t>
  </si>
  <si>
    <t>2.1.2</t>
  </si>
  <si>
    <t>Corporate Security</t>
  </si>
  <si>
    <t>2.1.3</t>
  </si>
  <si>
    <t>MSA Preliminar</t>
  </si>
  <si>
    <t xml:space="preserve">AQ - </t>
  </si>
  <si>
    <t>2.1.4</t>
  </si>
  <si>
    <t>MSA Definitivo</t>
  </si>
  <si>
    <t>Socializa v2 19-01-23
Actualizacion el 06/01/23 con Monitoreo
Socializa 22-12-22</t>
  </si>
  <si>
    <t>2.2</t>
  </si>
  <si>
    <t>Discovery</t>
  </si>
  <si>
    <t>2.2.1</t>
  </si>
  <si>
    <t>Liquidacion</t>
  </si>
  <si>
    <t>2.2.2</t>
  </si>
  <si>
    <t>KBGE - Infraestructura de Pagos</t>
  </si>
  <si>
    <t>2.2.3</t>
  </si>
  <si>
    <t>KTRA - Tracking de Productos Digitales</t>
  </si>
  <si>
    <t>2.2.4</t>
  </si>
  <si>
    <t>JBSY    - Monitor de Productos Digitales</t>
  </si>
  <si>
    <t>2.2.5</t>
  </si>
  <si>
    <t>KREC  -  Conciliacion de Pagos</t>
  </si>
  <si>
    <t>2.2.6</t>
  </si>
  <si>
    <t>L1WI   -  Busqueda Avanzada Contratos</t>
  </si>
  <si>
    <t>2.2.7</t>
  </si>
  <si>
    <t xml:space="preserve">GLCJ    - Frontales Globales Empresas </t>
  </si>
  <si>
    <t>2.2.8</t>
  </si>
  <si>
    <t>BG/CA - Liquidacion Local</t>
  </si>
  <si>
    <t>2.2.9</t>
  </si>
  <si>
    <t>Capa Gestora - Liquidacion Local</t>
  </si>
  <si>
    <t>2.3</t>
  </si>
  <si>
    <t>Outputs</t>
  </si>
  <si>
    <t>2.3.1</t>
  </si>
  <si>
    <t>Plan de Trabajo</t>
  </si>
  <si>
    <t>2.3.2</t>
  </si>
  <si>
    <t>Diseño Tecnico</t>
  </si>
  <si>
    <t>2.3.3</t>
  </si>
  <si>
    <t>Inventario Componentes</t>
  </si>
  <si>
    <t>2.3.4</t>
  </si>
  <si>
    <t>Inventarios BBDD</t>
  </si>
  <si>
    <t>2.3.5</t>
  </si>
  <si>
    <t>Identidad de Equipo</t>
  </si>
  <si>
    <t>SM - Veronica</t>
  </si>
  <si>
    <t>2.3.6</t>
  </si>
  <si>
    <t>Historias de Usuario</t>
  </si>
  <si>
    <t xml:space="preserve">PO - </t>
  </si>
  <si>
    <t>2.3.7</t>
  </si>
  <si>
    <t>User Story Mapping</t>
  </si>
  <si>
    <t xml:space="preserve">SM - </t>
  </si>
  <si>
    <t>2.3.8</t>
  </si>
  <si>
    <t>Funcionalidades Bloqueantes</t>
  </si>
  <si>
    <t>2.3.9</t>
  </si>
  <si>
    <t>Conformacion de Equipo</t>
  </si>
  <si>
    <t>LT - Ronald Romero</t>
  </si>
  <si>
    <t>Se realiza proceso a 75 candidatos</t>
  </si>
  <si>
    <t>3</t>
  </si>
  <si>
    <t>FT Liquidacion Pagos Habilitadoras</t>
  </si>
  <si>
    <t>Habilitadoras de Pagos Locales</t>
  </si>
  <si>
    <t>TECNICA FEATURE</t>
  </si>
  <si>
    <t>3.1</t>
  </si>
  <si>
    <t>Analisis &amp; Diseños</t>
  </si>
  <si>
    <t>3.1.1</t>
  </si>
  <si>
    <t>Liquidacion Local HOST</t>
  </si>
  <si>
    <t>3.1.1.1</t>
  </si>
  <si>
    <t>Analisis</t>
  </si>
  <si>
    <t>Capa Gestora Netcash</t>
  </si>
  <si>
    <t>HOST</t>
  </si>
  <si>
    <t>3.1.1.4</t>
  </si>
  <si>
    <t>Cuentas Personales MIR Batch</t>
  </si>
  <si>
    <t>3.1.1.5</t>
  </si>
  <si>
    <t>Cuentas Personales Impacto Procesamiento Linea</t>
  </si>
  <si>
    <t>3.1.1.10</t>
  </si>
  <si>
    <t>MIR Ligera Transferencias MEX (Rutina)</t>
  </si>
  <si>
    <t>3.1.1.12</t>
  </si>
  <si>
    <t>Capa Gestora (Rutina Online)</t>
  </si>
  <si>
    <t>MIR Ligera Transferencias (Rutina)</t>
  </si>
  <si>
    <t>Transferencias Propio Banco (Tx)</t>
  </si>
  <si>
    <t>Diseño Tecnico Revision</t>
  </si>
  <si>
    <t>Transferencias Propio Banco (Rutina-Tx)</t>
  </si>
  <si>
    <t>Capa Gestora (Rutina Batch) para CA</t>
  </si>
  <si>
    <t>3.1.1.2</t>
  </si>
  <si>
    <t>Cuentas Personales OZ88 - OZ89</t>
  </si>
  <si>
    <t>3.1.1.3</t>
  </si>
  <si>
    <t>Cuentas Personales MIR Online</t>
  </si>
  <si>
    <t>3.1.1.6</t>
  </si>
  <si>
    <t>MIR Ligera Nominas MEX (Rutina)</t>
  </si>
  <si>
    <t>3.1.1.9</t>
  </si>
  <si>
    <t>Fraude (Monitor Plus)</t>
  </si>
  <si>
    <t>MIR Ligera Nominas (Rutina)</t>
  </si>
  <si>
    <t>Nominas Propio Banco (Tx)</t>
  </si>
  <si>
    <t>Nominas Propio Banco (Rutina-Tx)</t>
  </si>
  <si>
    <t>Interbancarias (Tx)</t>
  </si>
  <si>
    <t>3.1.1.7</t>
  </si>
  <si>
    <t>Cargos y Abonos procesamiento Netcash</t>
  </si>
  <si>
    <t>3.1.1.8</t>
  </si>
  <si>
    <t xml:space="preserve">Cargos y Abonos Reporteria procesamiento Netcash </t>
  </si>
  <si>
    <t>MIR Ligera Interbancarias MEX (Rutina)</t>
  </si>
  <si>
    <t>Mir Ligera (Rutina Batch) Cargos y Abonos</t>
  </si>
  <si>
    <t>Ajuste Malla CA incluir Capa Gestora</t>
  </si>
  <si>
    <t>Ajuste SRC CA incluir Capa Gestora</t>
  </si>
  <si>
    <t>Ajuste Malla CA respuesta de pagos</t>
  </si>
  <si>
    <t>Ajuste SRC CA respuesta de pagos</t>
  </si>
  <si>
    <t xml:space="preserve">Diseño Tecnico </t>
  </si>
  <si>
    <t xml:space="preserve">Proceso Batch genera Evento SEMaas estado pagos </t>
  </si>
  <si>
    <t>3.1.2</t>
  </si>
  <si>
    <t>Liquidacion Local APX</t>
  </si>
  <si>
    <t>3.1.2.1</t>
  </si>
  <si>
    <t>Capa Gestora Netcash KUSU</t>
  </si>
  <si>
    <t>APX</t>
  </si>
  <si>
    <t>3.1.2.2</t>
  </si>
  <si>
    <t>Cuentas Personales KSAN</t>
  </si>
  <si>
    <t>3.1.2.3</t>
  </si>
  <si>
    <t>Personas KBTQ</t>
  </si>
  <si>
    <t>3.1.2.5</t>
  </si>
  <si>
    <t>Libreria multipais de liquidación</t>
  </si>
  <si>
    <t>3.1.2.6</t>
  </si>
  <si>
    <t>3.1.3</t>
  </si>
  <si>
    <t>Contrato de Datos APX - HOST</t>
  </si>
  <si>
    <t>3.1.3.1</t>
  </si>
  <si>
    <t>Nominas BBVA</t>
  </si>
  <si>
    <t>3.1.3.2</t>
  </si>
  <si>
    <t>Interbancarias</t>
  </si>
  <si>
    <t>3.1.3.3</t>
  </si>
  <si>
    <t>Transferencias BBVA</t>
  </si>
  <si>
    <t>3.1.4</t>
  </si>
  <si>
    <t>Entregables Diseño Tecnico</t>
  </si>
  <si>
    <t>3.1.4.4</t>
  </si>
  <si>
    <t>Sesion Entendimiento con Aplicativo</t>
  </si>
  <si>
    <t>Agendar sesion</t>
  </si>
  <si>
    <t>Revision y Aprobacion Aplicativo</t>
  </si>
  <si>
    <t>3.1.4.5</t>
  </si>
  <si>
    <t>3.1.4.6</t>
  </si>
  <si>
    <t>3.1.4.7</t>
  </si>
  <si>
    <t>3.1.4.8</t>
  </si>
  <si>
    <t>3.2</t>
  </si>
  <si>
    <t>Base de Datos HOST</t>
  </si>
  <si>
    <t>3.2.1</t>
  </si>
  <si>
    <t>Desarrollo</t>
  </si>
  <si>
    <t>3.2.1.1</t>
  </si>
  <si>
    <t>Modelado</t>
  </si>
  <si>
    <t>Gobierno</t>
  </si>
  <si>
    <t>3.2.1.2</t>
  </si>
  <si>
    <t xml:space="preserve">CRQ implementacion </t>
  </si>
  <si>
    <t>3.2.1.3</t>
  </si>
  <si>
    <t>Documentacion</t>
  </si>
  <si>
    <t>3.2.2</t>
  </si>
  <si>
    <t>Calidad</t>
  </si>
  <si>
    <t>3.2.2.1</t>
  </si>
  <si>
    <t>3.2.2.2</t>
  </si>
  <si>
    <t>3.2.2.3</t>
  </si>
  <si>
    <t>Certificacion Usuarios y Areas de Valor</t>
  </si>
  <si>
    <t>3.2.3</t>
  </si>
  <si>
    <t>Produccion</t>
  </si>
  <si>
    <t>3.2.3.1</t>
  </si>
  <si>
    <t>Comite de Cambios</t>
  </si>
  <si>
    <t>3.2.3.2</t>
  </si>
  <si>
    <t>Instalacion</t>
  </si>
  <si>
    <t>4</t>
  </si>
  <si>
    <t>FT Orquestadora Local APX</t>
  </si>
  <si>
    <t>Transaccion APX Orquestadora Local</t>
  </si>
  <si>
    <t>4.1</t>
  </si>
  <si>
    <t>Multipais Liquidación</t>
  </si>
  <si>
    <t>4.1.1</t>
  </si>
  <si>
    <t>Crear rama feature a partir de develop</t>
  </si>
  <si>
    <t>4.1.2</t>
  </si>
  <si>
    <t>Desarrollo y test en la rama feature</t>
  </si>
  <si>
    <t>4.1.3</t>
  </si>
  <si>
    <t>Mergear la rama feature a develop</t>
  </si>
  <si>
    <t>4.1.4</t>
  </si>
  <si>
    <t>Creacion de Propiedades</t>
  </si>
  <si>
    <t>Pruebas Unitarias</t>
  </si>
  <si>
    <t>Pruebas en desarrollo y test desde rama develop</t>
  </si>
  <si>
    <t>4.1.5</t>
  </si>
  <si>
    <t>Generar rama release desde develop</t>
  </si>
  <si>
    <t>5.2.2</t>
  </si>
  <si>
    <t>Desplegar rama release en todos los ambientes</t>
  </si>
  <si>
    <t>Pruebas en calidad y octa</t>
  </si>
  <si>
    <t>Bug - Rama Hotfix</t>
  </si>
  <si>
    <t>Merge Hotfix a Release</t>
  </si>
  <si>
    <t>4.1.6</t>
  </si>
  <si>
    <t>5</t>
  </si>
  <si>
    <t xml:space="preserve">FT Transferencias </t>
  </si>
  <si>
    <t>Transferencias Propio Banco</t>
  </si>
  <si>
    <t>5.1</t>
  </si>
  <si>
    <t>5.1.1</t>
  </si>
  <si>
    <t>Transaccion HOST</t>
  </si>
  <si>
    <t>Implementacion Codigo</t>
  </si>
  <si>
    <t xml:space="preserve">Arquitectura Creacion Tx </t>
  </si>
  <si>
    <t>5.1.2</t>
  </si>
  <si>
    <t>Validaciones Dinamicas Tx</t>
  </si>
  <si>
    <t>5.1.3</t>
  </si>
  <si>
    <t>5.2</t>
  </si>
  <si>
    <t>5.2.1</t>
  </si>
  <si>
    <t>Despliegue en Calidad</t>
  </si>
  <si>
    <t>Perfilado RACF</t>
  </si>
  <si>
    <t>Arquitectura</t>
  </si>
  <si>
    <t>5.2.3</t>
  </si>
  <si>
    <t>Postman</t>
  </si>
  <si>
    <t>Pruebas de Integracion APX-HOST</t>
  </si>
  <si>
    <t>CERTIFICACION</t>
  </si>
  <si>
    <t>5.2.4</t>
  </si>
  <si>
    <t>Certificacion</t>
  </si>
  <si>
    <t>5.2.5</t>
  </si>
  <si>
    <t>Vbo areas de valor</t>
  </si>
  <si>
    <t>5.3</t>
  </si>
  <si>
    <t>5.3.1</t>
  </si>
  <si>
    <t xml:space="preserve">Instalar Expedientes </t>
  </si>
  <si>
    <t>Alta Propiedades</t>
  </si>
  <si>
    <t>5.3.2</t>
  </si>
  <si>
    <t>Perfilado ALAMBRA</t>
  </si>
  <si>
    <t>5.3.3</t>
  </si>
  <si>
    <t>SOPORTE</t>
  </si>
  <si>
    <t>17.1</t>
  </si>
  <si>
    <t>Pruebas Integrales DEV</t>
  </si>
  <si>
    <t>17.1.1</t>
  </si>
  <si>
    <t xml:space="preserve">Pruebas Integrales </t>
  </si>
  <si>
    <t>Ciclo 1 - Pruebas</t>
  </si>
  <si>
    <t>17.1.2</t>
  </si>
  <si>
    <t>Ciclo 1 - Ajustes Holding / Locales</t>
  </si>
  <si>
    <t>HD - Alberto Alonso</t>
  </si>
  <si>
    <t>17.1.3</t>
  </si>
  <si>
    <t>Ciclo 2 - Pruebas</t>
  </si>
  <si>
    <t>17.1.4</t>
  </si>
  <si>
    <t>Ciclo 2 - Ajustes Holding / Locales</t>
  </si>
  <si>
    <t>17.1.5</t>
  </si>
  <si>
    <t>Ciclo 3 - Pruebas</t>
  </si>
  <si>
    <t>17.2</t>
  </si>
  <si>
    <t>17.2.1</t>
  </si>
  <si>
    <t>Despliegue Componentes QA</t>
  </si>
  <si>
    <t>Creación de las variables de entorno APX de acceso a la BBDD</t>
  </si>
  <si>
    <t>APX - Thalia Manrique</t>
  </si>
  <si>
    <t>17.2.2</t>
  </si>
  <si>
    <t>Despliegue de los servicios de streaming</t>
  </si>
  <si>
    <t>ASO - Yesid Sanchez</t>
  </si>
  <si>
    <t>ASO</t>
  </si>
  <si>
    <t>17.2.3</t>
  </si>
  <si>
    <t>Perfilado de los servicios ASO</t>
  </si>
  <si>
    <t>17.2.4</t>
  </si>
  <si>
    <t>Solicitud de consumos</t>
  </si>
  <si>
    <t>17.2.5</t>
  </si>
  <si>
    <t>Configuración de los eventos SeeMas de la fase de liquidación</t>
  </si>
  <si>
    <t>17.2.6</t>
  </si>
  <si>
    <t>Despliegue de las librerias APX de la fase de incorporación</t>
  </si>
  <si>
    <t>17.2.7</t>
  </si>
  <si>
    <t>Despliegue de las librerias APX necesarias para la paginación</t>
  </si>
  <si>
    <t>17.2.8</t>
  </si>
  <si>
    <t>Despliegue de las librerias APX necesarias para la liquidación</t>
  </si>
  <si>
    <t>17.2.9</t>
  </si>
  <si>
    <t>Despliegue librerias escritura tracking</t>
  </si>
  <si>
    <t>APX - Felipe Gutierrez</t>
  </si>
  <si>
    <t>17.2.10</t>
  </si>
  <si>
    <t>Solicitar visibilidad sobre los componentes de KTRA</t>
  </si>
  <si>
    <t>17.2.11</t>
  </si>
  <si>
    <t>Despliegue librerias escritura en JBSY (monitor)</t>
  </si>
  <si>
    <t>17.2.12</t>
  </si>
  <si>
    <t>Solicitar visibilidad sobre los componentes de JBSY</t>
  </si>
  <si>
    <t>17.2.13</t>
  </si>
  <si>
    <t>Despliegue componentes del Supervisor</t>
  </si>
  <si>
    <t>17.2.14</t>
  </si>
  <si>
    <t>Configuración de las deadletters</t>
  </si>
  <si>
    <t>17.2.15</t>
  </si>
  <si>
    <t>Alarmado de SeeMas y monitoreo de Deadletters</t>
  </si>
  <si>
    <t>17.2.16</t>
  </si>
  <si>
    <t>Perfilado de las transacciones APX asociadas a SeeMas</t>
  </si>
  <si>
    <t>17.2.17</t>
  </si>
  <si>
    <t>Despliegue componentes CELLS</t>
  </si>
  <si>
    <t>CELLS - Nicolas Moreno</t>
  </si>
  <si>
    <t>CELLS</t>
  </si>
  <si>
    <t>17.3</t>
  </si>
  <si>
    <t>17.3.1</t>
  </si>
  <si>
    <t>17.3.2</t>
  </si>
  <si>
    <t>17.3.3</t>
  </si>
  <si>
    <t>17.3.4</t>
  </si>
  <si>
    <t>17.3.5</t>
  </si>
  <si>
    <t>OCTA</t>
  </si>
  <si>
    <t>Ciclo 3 - E2E Pruebas</t>
  </si>
  <si>
    <t>Componentes Globales con Vbo Global</t>
  </si>
  <si>
    <t>17.3.6</t>
  </si>
  <si>
    <t>Ciclo 3 - Ajustes Holding / Locales</t>
  </si>
  <si>
    <t>17.3.7</t>
  </si>
  <si>
    <t>Hacking Etico</t>
  </si>
  <si>
    <t>Ciclo 3 - Vulnerabilidad Pruebas</t>
  </si>
  <si>
    <t>17.3.8</t>
  </si>
  <si>
    <t>17.3.9</t>
  </si>
  <si>
    <t>Ciclo 4 - Pruebas</t>
  </si>
  <si>
    <t>17.4</t>
  </si>
  <si>
    <t>Vistos Buenos</t>
  </si>
  <si>
    <t>17.4.1</t>
  </si>
  <si>
    <t>Aprobacion</t>
  </si>
  <si>
    <t>Envio de Vistos Buenos</t>
  </si>
  <si>
    <t>QA - Edson Suarez</t>
  </si>
  <si>
    <t>17.4.2</t>
  </si>
  <si>
    <t>Visto Bueno Contabilidad</t>
  </si>
  <si>
    <t>17.4.3</t>
  </si>
  <si>
    <t>Visto Bueno Cuentas Personales</t>
  </si>
  <si>
    <t>17.4.4</t>
  </si>
  <si>
    <t>Visto Bueno Cargos y Abonos</t>
  </si>
  <si>
    <t>17.4.5</t>
  </si>
  <si>
    <t>Visto Bueno Metricas</t>
  </si>
  <si>
    <t>17.4.6</t>
  </si>
  <si>
    <t>Visto Bueno Fraude</t>
  </si>
  <si>
    <t>17.4.7</t>
  </si>
  <si>
    <t>Visto Bueno OCTA</t>
  </si>
  <si>
    <t>17.4.8</t>
  </si>
  <si>
    <t>Visto Bueno Cumplimiento</t>
  </si>
  <si>
    <t>17.4.9</t>
  </si>
  <si>
    <t>Visto Bueno Tecnico</t>
  </si>
  <si>
    <t>17.4.10</t>
  </si>
  <si>
    <t>Visto Bueno Usuario Enterprise</t>
  </si>
  <si>
    <t>17.5</t>
  </si>
  <si>
    <t>Producción</t>
  </si>
  <si>
    <t>17.5.1</t>
  </si>
  <si>
    <t>TM - Oscar Mesa</t>
  </si>
  <si>
    <t>17.5.2</t>
  </si>
  <si>
    <t>Componentes APX</t>
  </si>
  <si>
    <t>Despliegue Transacciones, Libreriras - Consola</t>
  </si>
  <si>
    <t>17.5.3</t>
  </si>
  <si>
    <t>PerfiladoTransacciones, Libreriras</t>
  </si>
  <si>
    <t>17.5.4</t>
  </si>
  <si>
    <t>Componentes APX Eventos</t>
  </si>
  <si>
    <t>Despliegue SEMaas - Consola</t>
  </si>
  <si>
    <t>17.5.5</t>
  </si>
  <si>
    <t>Componentes APX BBDD</t>
  </si>
  <si>
    <t>Despliegue BBDD</t>
  </si>
  <si>
    <t>17.5.6</t>
  </si>
  <si>
    <t>Componentes ASO</t>
  </si>
  <si>
    <t>Despliegue Servicios - Consola</t>
  </si>
  <si>
    <t>17.5.7</t>
  </si>
  <si>
    <t>Componentes CELLS</t>
  </si>
  <si>
    <t>Despliegue CELLS - Consola</t>
  </si>
  <si>
    <t>17.5.8</t>
  </si>
  <si>
    <t>Componentes HOST</t>
  </si>
  <si>
    <t>Despliegue HOST expedientes</t>
  </si>
  <si>
    <t>Cargo</t>
  </si>
  <si>
    <t>Nombre</t>
  </si>
  <si>
    <t>Usuario</t>
  </si>
  <si>
    <t xml:space="preserve">Correo </t>
  </si>
  <si>
    <t>Concatena</t>
  </si>
  <si>
    <t>Empresa</t>
  </si>
  <si>
    <t>Ingreso</t>
  </si>
  <si>
    <t>Salida</t>
  </si>
  <si>
    <t>Celular</t>
  </si>
  <si>
    <t>Cumpleaños</t>
  </si>
  <si>
    <t>Proveedor</t>
  </si>
  <si>
    <t>EQ Scrum</t>
  </si>
  <si>
    <t>LT front</t>
  </si>
  <si>
    <t>Tatiana</t>
  </si>
  <si>
    <t>LT Backend</t>
  </si>
  <si>
    <t>Taba</t>
  </si>
  <si>
    <t>PO</t>
  </si>
  <si>
    <t>Carolina</t>
  </si>
  <si>
    <t>QA</t>
  </si>
  <si>
    <t>Elian</t>
  </si>
  <si>
    <t>SM</t>
  </si>
  <si>
    <t>Veronica</t>
  </si>
  <si>
    <t>D-front</t>
  </si>
  <si>
    <t>Brayan</t>
  </si>
  <si>
    <t>D-Front</t>
  </si>
  <si>
    <t>Joaquin</t>
  </si>
  <si>
    <t>Rafael</t>
  </si>
  <si>
    <t>D-Back</t>
  </si>
  <si>
    <t>Farialis</t>
  </si>
  <si>
    <t>Carlos</t>
  </si>
  <si>
    <t>IUX</t>
  </si>
  <si>
    <t>Felipe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</si>
</sst>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theme="1"/>
      <name val="Arial"/>
    </font>
    <font>
      <b/>
      <i/>
      <sz val="12.0"/>
      <color theme="1"/>
      <name val="Arial"/>
    </font>
    <font>
      <b/>
      <i/>
      <sz val="10.0"/>
      <color theme="1"/>
      <name val="Arial"/>
    </font>
    <font>
      <b/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2.0"/>
      <color theme="1"/>
      <name val="Arial"/>
    </font>
    <font>
      <b/>
      <i/>
      <sz val="8.0"/>
      <color theme="1"/>
      <name val="Arial"/>
    </font>
    <font>
      <b/>
      <sz val="10.0"/>
      <color theme="1"/>
      <name val="Arial"/>
    </font>
    <font>
      <sz val="11.0"/>
      <color rgb="FF00000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</border>
    <border>
      <left/>
      <right style="thin">
        <color rgb="FF666666"/>
      </right>
      <top style="thin">
        <color rgb="FF666666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/>
    </xf>
    <xf borderId="2" fillId="2" fontId="1" numFmtId="10" xfId="0" applyAlignment="1" applyBorder="1" applyFont="1" applyNumberFormat="1">
      <alignment horizontal="center"/>
    </xf>
    <xf borderId="0" fillId="0" fontId="2" numFmtId="0" xfId="0" applyFont="1"/>
    <xf borderId="3" fillId="3" fontId="3" numFmtId="49" xfId="0" applyAlignment="1" applyBorder="1" applyFill="1" applyFont="1" applyNumberFormat="1">
      <alignment horizontal="center"/>
    </xf>
    <xf borderId="3" fillId="3" fontId="3" numFmtId="0" xfId="0" applyBorder="1" applyFont="1"/>
    <xf borderId="3" fillId="3" fontId="4" numFmtId="0" xfId="0" applyBorder="1" applyFont="1"/>
    <xf borderId="3" fillId="3" fontId="5" numFmtId="0" xfId="0" applyBorder="1" applyFont="1"/>
    <xf borderId="3" fillId="3" fontId="3" numFmtId="164" xfId="0" applyBorder="1" applyFont="1" applyNumberFormat="1"/>
    <xf borderId="3" fillId="3" fontId="3" numFmtId="10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4" xfId="0" applyFont="1" applyNumberFormat="1"/>
    <xf borderId="0" fillId="0" fontId="2" numFmtId="10" xfId="0" applyAlignment="1" applyFont="1" applyNumberFormat="1">
      <alignment horizontal="center"/>
    </xf>
    <xf borderId="3" fillId="4" fontId="6" numFmtId="49" xfId="0" applyAlignment="1" applyBorder="1" applyFill="1" applyFont="1" applyNumberFormat="1">
      <alignment horizontal="center"/>
    </xf>
    <xf borderId="3" fillId="4" fontId="6" numFmtId="0" xfId="0" applyBorder="1" applyFont="1"/>
    <xf borderId="3" fillId="4" fontId="6" numFmtId="164" xfId="0" applyBorder="1" applyFont="1" applyNumberFormat="1"/>
    <xf borderId="3" fillId="4" fontId="6" numFmtId="10" xfId="0" applyAlignment="1" applyBorder="1" applyFont="1" applyNumberFormat="1">
      <alignment horizontal="center"/>
    </xf>
    <xf borderId="0" fillId="0" fontId="7" numFmtId="0" xfId="0" applyFont="1"/>
    <xf borderId="0" fillId="0" fontId="2" numFmtId="0" xfId="0" applyAlignment="1" applyFont="1">
      <alignment readingOrder="0"/>
    </xf>
    <xf borderId="3" fillId="3" fontId="8" numFmtId="0" xfId="0" applyBorder="1" applyFont="1"/>
    <xf borderId="3" fillId="3" fontId="9" numFmtId="0" xfId="0" applyBorder="1" applyFont="1"/>
    <xf borderId="0" fillId="0" fontId="10" numFmtId="49" xfId="0" applyAlignment="1" applyFont="1" applyNumberFormat="1">
      <alignment horizontal="center"/>
    </xf>
    <xf borderId="0" fillId="0" fontId="10" numFmtId="0" xfId="0" applyFont="1"/>
    <xf borderId="0" fillId="0" fontId="10" numFmtId="164" xfId="0" applyFont="1" applyNumberFormat="1"/>
    <xf borderId="0" fillId="0" fontId="10" numFmtId="10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3" fillId="3" fontId="2" numFmtId="0" xfId="0" applyBorder="1" applyFont="1"/>
    <xf borderId="0" fillId="0" fontId="2" numFmtId="0" xfId="0" applyAlignment="1" applyFont="1">
      <alignment horizontal="right"/>
    </xf>
    <xf borderId="3" fillId="5" fontId="11" numFmtId="49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4" fillId="0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b/>
        <color rgb="FF000000"/>
      </font>
      <fill>
        <patternFill patternType="solid">
          <fgColor rgb="FFF6B26B"/>
          <bgColor rgb="FFF6B26B"/>
        </patternFill>
      </fill>
      <border/>
    </dxf>
    <dxf>
      <font>
        <b/>
        <color rgb="FF000000"/>
      </font>
      <fill>
        <patternFill patternType="solid">
          <fgColor rgb="FFE69138"/>
          <bgColor rgb="FFE6913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3"/>
  <cols>
    <col customWidth="1" min="1" max="1" width="6.25"/>
    <col customWidth="1" min="2" max="2" width="34.75"/>
    <col customWidth="1" min="3" max="3" width="41.13"/>
    <col customWidth="1" min="4" max="4" width="21.88"/>
    <col customWidth="1" min="5" max="5" width="18.13"/>
    <col customWidth="1" min="6" max="6" width="12.63"/>
    <col customWidth="1" min="10" max="10" width="26.38"/>
    <col customWidth="1" min="12" max="13" width="9.88"/>
    <col customWidth="1" min="14" max="14" width="7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15.75" customHeight="1">
      <c r="A2" s="6" t="s">
        <v>14</v>
      </c>
      <c r="B2" s="7" t="s">
        <v>15</v>
      </c>
      <c r="C2" s="8" t="s">
        <v>16</v>
      </c>
      <c r="D2" s="9" t="s">
        <v>17</v>
      </c>
      <c r="E2" s="7"/>
      <c r="F2" s="10">
        <f>MIN(F3:F135)</f>
        <v>44866</v>
      </c>
      <c r="G2" s="10">
        <f>MAX(G3:G135)</f>
        <v>45094</v>
      </c>
      <c r="H2" s="10"/>
      <c r="I2" s="10"/>
      <c r="J2" s="7"/>
      <c r="K2" s="7"/>
      <c r="L2" s="11">
        <f t="shared" ref="L2:M2" si="1">AVERAGE(L3,L6,L32)</f>
        <v>0.6641010802</v>
      </c>
      <c r="M2" s="11" t="str">
        <f t="shared" si="1"/>
        <v>#REF!</v>
      </c>
      <c r="N2" s="7"/>
    </row>
    <row r="3" ht="15.75" customHeight="1">
      <c r="A3" s="6" t="s">
        <v>18</v>
      </c>
      <c r="B3" s="7" t="s">
        <v>19</v>
      </c>
      <c r="C3" s="8"/>
      <c r="D3" s="7"/>
      <c r="E3" s="7"/>
      <c r="F3" s="10">
        <f>MIN(F4:F5)</f>
        <v>44866</v>
      </c>
      <c r="G3" s="10">
        <f>MAX(G4:G5)</f>
        <v>44895</v>
      </c>
      <c r="H3" s="10"/>
      <c r="I3" s="10"/>
      <c r="J3" s="7"/>
      <c r="K3" s="7" t="str">
        <f t="shared" ref="K3:K135" si="3">AVERAGE(K4,K7,K33)</f>
        <v>#REF!</v>
      </c>
      <c r="L3" s="11">
        <f t="shared" ref="L3:M3" si="2">AVERAGE(L4:L5)</f>
        <v>1</v>
      </c>
      <c r="M3" s="11">
        <f t="shared" si="2"/>
        <v>1</v>
      </c>
      <c r="N3" s="7"/>
    </row>
    <row r="4" ht="15.75" customHeight="1" outlineLevel="1">
      <c r="A4" s="12" t="s">
        <v>20</v>
      </c>
      <c r="B4" s="5" t="s">
        <v>21</v>
      </c>
      <c r="C4" s="5" t="s">
        <v>22</v>
      </c>
      <c r="D4" s="5"/>
      <c r="E4" s="5" t="s">
        <v>23</v>
      </c>
      <c r="F4" s="13">
        <v>44866.0</v>
      </c>
      <c r="G4" s="13">
        <v>44885.0</v>
      </c>
      <c r="H4" s="13"/>
      <c r="I4" s="13"/>
      <c r="K4" s="5" t="str">
        <f t="shared" si="3"/>
        <v>#REF!</v>
      </c>
      <c r="L4" s="14">
        <v>1.0</v>
      </c>
      <c r="M4" s="14">
        <f t="shared" ref="M4:N4" si="4">IFS(L4=1,1,F4=TODAY(),0,(AND(F4=G4,F4=TODAY())),(NOW()-TODAY()),(TODAY()-F4)/N4&gt;=1,1,(TODAY()-F4)/N4&lt;0,0,AND((TODAY()-F4)/N4&lt;1,(TODAY()-F4)/N4&gt;0),(TODAY()-F4)/N4)</f>
        <v>1</v>
      </c>
      <c r="N4" s="5">
        <f t="shared" si="4"/>
        <v>1</v>
      </c>
    </row>
    <row r="5" ht="15.75" customHeight="1" outlineLevel="1">
      <c r="A5" s="12" t="s">
        <v>24</v>
      </c>
      <c r="B5" s="5" t="s">
        <v>21</v>
      </c>
      <c r="C5" s="5" t="s">
        <v>25</v>
      </c>
      <c r="D5" s="5"/>
      <c r="E5" s="5" t="s">
        <v>23</v>
      </c>
      <c r="F5" s="13">
        <v>44880.0</v>
      </c>
      <c r="G5" s="13">
        <v>44895.0</v>
      </c>
      <c r="H5" s="13"/>
      <c r="I5" s="13"/>
      <c r="K5" s="5" t="str">
        <f t="shared" si="3"/>
        <v>#REF!</v>
      </c>
      <c r="L5" s="14">
        <v>1.0</v>
      </c>
      <c r="M5" s="14">
        <f t="shared" ref="M5:N5" si="5">IFS(L5=1,1,F5=TODAY(),0,(AND(F5=G5,F5=TODAY())),(NOW()-TODAY()),(TODAY()-F5)/N5&gt;=1,1,(TODAY()-F5)/N5&lt;0,0,AND((TODAY()-F5)/N5&lt;1,(TODAY()-F5)/N5&gt;0),(TODAY()-F5)/N5)</f>
        <v>1</v>
      </c>
      <c r="N5" s="5">
        <f t="shared" si="5"/>
        <v>1</v>
      </c>
    </row>
    <row r="6" ht="15.75" customHeight="1">
      <c r="A6" s="6" t="s">
        <v>26</v>
      </c>
      <c r="B6" s="7" t="s">
        <v>27</v>
      </c>
      <c r="C6" s="8"/>
      <c r="D6" s="7"/>
      <c r="E6" s="7"/>
      <c r="F6" s="10">
        <f>MIN(F7:F31)</f>
        <v>44873</v>
      </c>
      <c r="G6" s="10">
        <f>MAX(G7:G31)</f>
        <v>44964</v>
      </c>
      <c r="H6" s="10"/>
      <c r="I6" s="10"/>
      <c r="J6" s="7"/>
      <c r="K6" s="7" t="str">
        <f t="shared" si="3"/>
        <v>#REF!</v>
      </c>
      <c r="L6" s="11">
        <f t="shared" ref="L6:M6" si="6">AVERAGE(L7,L12,L22)</f>
        <v>0.9740740741</v>
      </c>
      <c r="M6" s="11" t="str">
        <f t="shared" si="6"/>
        <v>#REF!</v>
      </c>
      <c r="N6" s="7" t="str">
        <f t="shared" ref="N6:N7" si="8">IFS(M6=1,1,G6=TODAY(),0,(AND(G6=H6,G6=TODAY())),(NOW()-TODAY()),(TODAY()-G6)/O6&gt;=1,1,(TODAY()-G6)/O6&lt;0,0,AND((TODAY()-G6)/O6&lt;1,(TODAY()-G6)/O6&gt;0),(TODAY()-G6)/O6)</f>
        <v>#REF!</v>
      </c>
    </row>
    <row r="7" ht="15.75" customHeight="1" outlineLevel="1">
      <c r="A7" s="15" t="s">
        <v>28</v>
      </c>
      <c r="B7" s="16" t="s">
        <v>29</v>
      </c>
      <c r="C7" s="16"/>
      <c r="D7" s="16"/>
      <c r="E7" s="16"/>
      <c r="F7" s="17">
        <f>MIN(F8:F11)</f>
        <v>44873</v>
      </c>
      <c r="G7" s="17">
        <f>MAX(G8:G11)</f>
        <v>44924</v>
      </c>
      <c r="H7" s="17"/>
      <c r="I7" s="17"/>
      <c r="J7" s="16"/>
      <c r="K7" s="16" t="str">
        <f t="shared" si="3"/>
        <v>#REF!</v>
      </c>
      <c r="L7" s="18">
        <f t="shared" ref="L7:M7" si="7">AVERAGE(L8:L11)</f>
        <v>1</v>
      </c>
      <c r="M7" s="18">
        <f t="shared" si="7"/>
        <v>1</v>
      </c>
      <c r="N7" s="16">
        <f t="shared" si="8"/>
        <v>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5.75" customHeight="1" outlineLevel="2">
      <c r="A8" s="12" t="s">
        <v>30</v>
      </c>
      <c r="B8" s="5" t="s">
        <v>29</v>
      </c>
      <c r="C8" s="5" t="s">
        <v>31</v>
      </c>
      <c r="D8" s="5"/>
      <c r="E8" s="5" t="s">
        <v>23</v>
      </c>
      <c r="F8" s="13">
        <v>44873.0</v>
      </c>
      <c r="G8" s="13">
        <v>44873.0</v>
      </c>
      <c r="H8" s="13"/>
      <c r="I8" s="13"/>
      <c r="K8" s="5" t="str">
        <f t="shared" si="3"/>
        <v>#REF!</v>
      </c>
      <c r="L8" s="14">
        <v>1.0</v>
      </c>
      <c r="M8" s="14">
        <f t="shared" ref="M8:N8" si="9">IFS(L8=1,1,F8=TODAY(),0,(AND(F8=G8,F8=TODAY())),(NOW()-TODAY()),(TODAY()-F8)/N8&gt;=1,1,(TODAY()-F8)/N8&lt;0,0,AND((TODAY()-F8)/N8&lt;1,(TODAY()-F8)/N8&gt;0),(TODAY()-F8)/N8)</f>
        <v>1</v>
      </c>
      <c r="N8" s="5">
        <f t="shared" si="9"/>
        <v>1</v>
      </c>
    </row>
    <row r="9" ht="15.75" customHeight="1" outlineLevel="2">
      <c r="A9" s="12" t="s">
        <v>32</v>
      </c>
      <c r="B9" s="5" t="s">
        <v>29</v>
      </c>
      <c r="C9" s="5" t="s">
        <v>33</v>
      </c>
      <c r="D9" s="5"/>
      <c r="E9" s="5" t="s">
        <v>23</v>
      </c>
      <c r="F9" s="13">
        <v>44873.0</v>
      </c>
      <c r="G9" s="13">
        <v>44898.0</v>
      </c>
      <c r="H9" s="13"/>
      <c r="I9" s="13"/>
      <c r="K9" s="5" t="str">
        <f t="shared" si="3"/>
        <v>#REF!</v>
      </c>
      <c r="L9" s="14">
        <v>1.0</v>
      </c>
      <c r="M9" s="14">
        <f t="shared" ref="M9:N9" si="10">IFS(L9=1,1,F9=TODAY(),0,(AND(F9=G9,F9=TODAY())),(NOW()-TODAY()),(TODAY()-F9)/N9&gt;=1,1,(TODAY()-F9)/N9&lt;0,0,AND((TODAY()-F9)/N9&lt;1,(TODAY()-F9)/N9&gt;0),(TODAY()-F9)/N9)</f>
        <v>1</v>
      </c>
      <c r="N9" s="5">
        <f t="shared" si="10"/>
        <v>1</v>
      </c>
    </row>
    <row r="10" ht="15.75" customHeight="1" outlineLevel="2">
      <c r="A10" s="12" t="s">
        <v>34</v>
      </c>
      <c r="B10" s="5" t="s">
        <v>29</v>
      </c>
      <c r="C10" s="5" t="s">
        <v>35</v>
      </c>
      <c r="D10" s="5" t="s">
        <v>36</v>
      </c>
      <c r="E10" s="5" t="s">
        <v>23</v>
      </c>
      <c r="F10" s="13">
        <v>44873.0</v>
      </c>
      <c r="G10" s="13">
        <v>44898.0</v>
      </c>
      <c r="H10" s="13"/>
      <c r="I10" s="13"/>
      <c r="K10" s="5" t="str">
        <f t="shared" si="3"/>
        <v>#REF!</v>
      </c>
      <c r="L10" s="14">
        <v>1.0</v>
      </c>
      <c r="M10" s="14">
        <f t="shared" ref="M10:N10" si="11">IFS(L10=1,1,F10=TODAY(),0,(AND(F10=G10,F10=TODAY())),(NOW()-TODAY()),(TODAY()-F10)/N10&gt;=1,1,(TODAY()-F10)/N10&lt;0,0,AND((TODAY()-F10)/N10&lt;1,(TODAY()-F10)/N10&gt;0),(TODAY()-F10)/N10)</f>
        <v>1</v>
      </c>
      <c r="N10" s="5">
        <f t="shared" si="11"/>
        <v>1</v>
      </c>
    </row>
    <row r="11" ht="15.75" customHeight="1" outlineLevel="2">
      <c r="A11" s="12" t="s">
        <v>37</v>
      </c>
      <c r="B11" s="5" t="s">
        <v>29</v>
      </c>
      <c r="C11" s="5" t="s">
        <v>38</v>
      </c>
      <c r="D11" s="5"/>
      <c r="E11" s="5" t="s">
        <v>23</v>
      </c>
      <c r="F11" s="13">
        <v>44873.0</v>
      </c>
      <c r="G11" s="13">
        <v>44924.0</v>
      </c>
      <c r="H11" s="13"/>
      <c r="I11" s="13"/>
      <c r="J11" s="5" t="s">
        <v>39</v>
      </c>
      <c r="K11" s="5" t="str">
        <f t="shared" si="3"/>
        <v>#REF!</v>
      </c>
      <c r="L11" s="14">
        <v>1.0</v>
      </c>
      <c r="M11" s="14">
        <f t="shared" ref="M11:N11" si="12">IFS(L11=1,1,F11=TODAY(),0,(AND(F11=G11,F11=TODAY())),(NOW()-TODAY()),(TODAY()-F11)/N11&gt;=1,1,(TODAY()-F11)/N11&lt;0,0,AND((TODAY()-F11)/N11&lt;1,(TODAY()-F11)/N11&gt;0),(TODAY()-F11)/N11)</f>
        <v>1</v>
      </c>
      <c r="N11" s="5">
        <f t="shared" si="12"/>
        <v>1</v>
      </c>
    </row>
    <row r="12" ht="15.75" customHeight="1" outlineLevel="1">
      <c r="A12" s="15" t="s">
        <v>40</v>
      </c>
      <c r="B12" s="16" t="s">
        <v>41</v>
      </c>
      <c r="C12" s="16"/>
      <c r="D12" s="16"/>
      <c r="E12" s="16"/>
      <c r="F12" s="17">
        <f>MIN(F13:F21)</f>
        <v>44900</v>
      </c>
      <c r="G12" s="17">
        <f>MAX(G13:G21)</f>
        <v>44918</v>
      </c>
      <c r="H12" s="17"/>
      <c r="I12" s="17"/>
      <c r="J12" s="16"/>
      <c r="K12" s="16" t="str">
        <f t="shared" si="3"/>
        <v>#REF!</v>
      </c>
      <c r="L12" s="18">
        <f t="shared" ref="L12:M12" si="13">AVERAGE(L13:L21)</f>
        <v>1</v>
      </c>
      <c r="M12" s="18">
        <f t="shared" si="13"/>
        <v>1</v>
      </c>
      <c r="N12" s="16">
        <f>IFS(M12=1,1,G12=TODAY(),0,(AND(G12=H12,G12=TODAY())),(NOW()-TODAY()),(TODAY()-G12)/O12&gt;=1,1,(TODAY()-G12)/O12&lt;0,0,AND((TODAY()-G12)/O12&lt;1,(TODAY()-G12)/O12&gt;0),(TODAY()-G12)/O12)</f>
        <v>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5.75" customHeight="1" outlineLevel="2">
      <c r="A13" s="12" t="s">
        <v>42</v>
      </c>
      <c r="B13" s="5" t="s">
        <v>41</v>
      </c>
      <c r="C13" s="5" t="s">
        <v>43</v>
      </c>
      <c r="D13" s="5"/>
      <c r="E13" s="5" t="s">
        <v>15</v>
      </c>
      <c r="F13" s="13">
        <v>44900.0</v>
      </c>
      <c r="G13" s="13">
        <v>44918.0</v>
      </c>
      <c r="H13" s="13"/>
      <c r="I13" s="13"/>
      <c r="K13" s="5" t="str">
        <f t="shared" si="3"/>
        <v>#REF!</v>
      </c>
      <c r="L13" s="14">
        <v>1.0</v>
      </c>
      <c r="M13" s="14">
        <f t="shared" ref="M13:N13" si="14">IFS(L13=1,1,F13=TODAY(),0,(AND(F13=G13,F13=TODAY())),(NOW()-TODAY()),(TODAY()-F13)/N13&gt;=1,1,(TODAY()-F13)/N13&lt;0,0,AND((TODAY()-F13)/N13&lt;1,(TODAY()-F13)/N13&gt;0),(TODAY()-F13)/N13)</f>
        <v>1</v>
      </c>
      <c r="N13" s="5">
        <f t="shared" si="14"/>
        <v>1</v>
      </c>
    </row>
    <row r="14" ht="15.75" customHeight="1" outlineLevel="2">
      <c r="A14" s="12" t="s">
        <v>44</v>
      </c>
      <c r="B14" s="5" t="s">
        <v>41</v>
      </c>
      <c r="C14" s="5" t="s">
        <v>45</v>
      </c>
      <c r="D14" s="5" t="s">
        <v>36</v>
      </c>
      <c r="E14" s="5" t="s">
        <v>15</v>
      </c>
      <c r="F14" s="13">
        <v>44908.0</v>
      </c>
      <c r="G14" s="13">
        <v>44918.0</v>
      </c>
      <c r="H14" s="13"/>
      <c r="I14" s="13"/>
      <c r="K14" s="5" t="str">
        <f t="shared" si="3"/>
        <v>#REF!</v>
      </c>
      <c r="L14" s="14">
        <v>1.0</v>
      </c>
      <c r="M14" s="14">
        <f t="shared" ref="M14:N14" si="15">IFS(L14=1,1,F14=TODAY(),0,(AND(F14=G14,F14=TODAY())),(NOW()-TODAY()),(TODAY()-F14)/N14&gt;=1,1,(TODAY()-F14)/N14&lt;0,0,AND((TODAY()-F14)/N14&lt;1,(TODAY()-F14)/N14&gt;0),(TODAY()-F14)/N14)</f>
        <v>1</v>
      </c>
      <c r="N14" s="5">
        <f t="shared" si="15"/>
        <v>1</v>
      </c>
    </row>
    <row r="15" ht="15.75" customHeight="1" outlineLevel="2">
      <c r="A15" s="12" t="s">
        <v>46</v>
      </c>
      <c r="B15" s="5" t="s">
        <v>41</v>
      </c>
      <c r="C15" s="5" t="s">
        <v>47</v>
      </c>
      <c r="D15" s="5"/>
      <c r="E15" s="5" t="s">
        <v>15</v>
      </c>
      <c r="F15" s="13">
        <v>44910.0</v>
      </c>
      <c r="G15" s="13">
        <v>44918.0</v>
      </c>
      <c r="H15" s="13"/>
      <c r="I15" s="13"/>
      <c r="K15" s="5" t="str">
        <f t="shared" si="3"/>
        <v>#REF!</v>
      </c>
      <c r="L15" s="14">
        <v>1.0</v>
      </c>
      <c r="M15" s="14">
        <f t="shared" ref="M15:N15" si="16">IFS(L15=1,1,F15=TODAY(),0,(AND(F15=G15,F15=TODAY())),(NOW()-TODAY()),(TODAY()-F15)/N15&gt;=1,1,(TODAY()-F15)/N15&lt;0,0,AND((TODAY()-F15)/N15&lt;1,(TODAY()-F15)/N15&gt;0),(TODAY()-F15)/N15)</f>
        <v>1</v>
      </c>
      <c r="N15" s="5">
        <f t="shared" si="16"/>
        <v>1</v>
      </c>
    </row>
    <row r="16" ht="15.75" customHeight="1" outlineLevel="2">
      <c r="A16" s="12" t="s">
        <v>48</v>
      </c>
      <c r="B16" s="5" t="s">
        <v>41</v>
      </c>
      <c r="C16" s="5" t="s">
        <v>49</v>
      </c>
      <c r="D16" s="5"/>
      <c r="E16" s="5" t="s">
        <v>15</v>
      </c>
      <c r="F16" s="13">
        <v>44916.0</v>
      </c>
      <c r="G16" s="13">
        <v>44918.0</v>
      </c>
      <c r="H16" s="13"/>
      <c r="I16" s="13"/>
      <c r="K16" s="5" t="str">
        <f t="shared" si="3"/>
        <v>#REF!</v>
      </c>
      <c r="L16" s="14">
        <v>1.0</v>
      </c>
      <c r="M16" s="14">
        <f t="shared" ref="M16:N16" si="17">IFS(L16=1,1,F16=TODAY(),0,(AND(F16=G16,F16=TODAY())),(NOW()-TODAY()),(TODAY()-F16)/N16&gt;=1,1,(TODAY()-F16)/N16&lt;0,0,AND((TODAY()-F16)/N16&lt;1,(TODAY()-F16)/N16&gt;0),(TODAY()-F16)/N16)</f>
        <v>1</v>
      </c>
      <c r="N16" s="5">
        <f t="shared" si="17"/>
        <v>1</v>
      </c>
    </row>
    <row r="17" ht="15.75" customHeight="1" outlineLevel="2">
      <c r="A17" s="12" t="s">
        <v>50</v>
      </c>
      <c r="B17" s="5" t="s">
        <v>41</v>
      </c>
      <c r="C17" s="5" t="s">
        <v>51</v>
      </c>
      <c r="D17" s="5"/>
      <c r="E17" s="5" t="s">
        <v>15</v>
      </c>
      <c r="F17" s="13">
        <v>44907.0</v>
      </c>
      <c r="G17" s="13">
        <v>44918.0</v>
      </c>
      <c r="H17" s="13"/>
      <c r="I17" s="13"/>
      <c r="K17" s="5" t="str">
        <f t="shared" si="3"/>
        <v>#REF!</v>
      </c>
      <c r="L17" s="14">
        <v>1.0</v>
      </c>
      <c r="M17" s="14">
        <f t="shared" ref="M17:N17" si="18">IFS(L17=1,1,F17=TODAY(),0,(AND(F17=G17,F17=TODAY())),(NOW()-TODAY()),(TODAY()-F17)/N17&gt;=1,1,(TODAY()-F17)/N17&lt;0,0,AND((TODAY()-F17)/N17&lt;1,(TODAY()-F17)/N17&gt;0),(TODAY()-F17)/N17)</f>
        <v>1</v>
      </c>
      <c r="N17" s="5">
        <f t="shared" si="18"/>
        <v>1</v>
      </c>
    </row>
    <row r="18" ht="15.75" customHeight="1" outlineLevel="2">
      <c r="A18" s="12" t="s">
        <v>52</v>
      </c>
      <c r="B18" s="5" t="s">
        <v>41</v>
      </c>
      <c r="C18" s="5" t="s">
        <v>53</v>
      </c>
      <c r="D18" s="5"/>
      <c r="E18" s="5" t="s">
        <v>15</v>
      </c>
      <c r="F18" s="13">
        <v>44902.0</v>
      </c>
      <c r="G18" s="13">
        <v>44918.0</v>
      </c>
      <c r="H18" s="13"/>
      <c r="I18" s="13"/>
      <c r="K18" s="5" t="str">
        <f t="shared" si="3"/>
        <v>#REF!</v>
      </c>
      <c r="L18" s="14">
        <v>1.0</v>
      </c>
      <c r="M18" s="14">
        <f t="shared" ref="M18:N18" si="19">IFS(L18=1,1,F18=TODAY(),0,(AND(F18=G18,F18=TODAY())),(NOW()-TODAY()),(TODAY()-F18)/N18&gt;=1,1,(TODAY()-F18)/N18&lt;0,0,AND((TODAY()-F18)/N18&lt;1,(TODAY()-F18)/N18&gt;0),(TODAY()-F18)/N18)</f>
        <v>1</v>
      </c>
      <c r="N18" s="5">
        <f t="shared" si="19"/>
        <v>1</v>
      </c>
    </row>
    <row r="19" ht="15.75" customHeight="1" outlineLevel="2">
      <c r="A19" s="12" t="s">
        <v>54</v>
      </c>
      <c r="B19" s="5" t="s">
        <v>41</v>
      </c>
      <c r="C19" s="5" t="s">
        <v>55</v>
      </c>
      <c r="D19" s="5"/>
      <c r="E19" s="5" t="s">
        <v>15</v>
      </c>
      <c r="F19" s="13">
        <v>44918.0</v>
      </c>
      <c r="G19" s="13">
        <v>44918.0</v>
      </c>
      <c r="H19" s="13"/>
      <c r="I19" s="13"/>
      <c r="K19" s="5" t="str">
        <f t="shared" si="3"/>
        <v>#REF!</v>
      </c>
      <c r="L19" s="14">
        <v>1.0</v>
      </c>
      <c r="M19" s="14">
        <f t="shared" ref="M19:N19" si="20">IFS(L19=1,1,F19=TODAY(),0,(AND(F19=G19,F19=TODAY())),(NOW()-TODAY()),(TODAY()-F19)/N19&gt;=1,1,(TODAY()-F19)/N19&lt;0,0,AND((TODAY()-F19)/N19&lt;1,(TODAY()-F19)/N19&gt;0),(TODAY()-F19)/N19)</f>
        <v>1</v>
      </c>
      <c r="N19" s="5">
        <f t="shared" si="20"/>
        <v>1</v>
      </c>
    </row>
    <row r="20" ht="15.75" customHeight="1" outlineLevel="2">
      <c r="A20" s="12" t="s">
        <v>56</v>
      </c>
      <c r="B20" s="5" t="s">
        <v>41</v>
      </c>
      <c r="C20" s="5" t="s">
        <v>57</v>
      </c>
      <c r="D20" s="5"/>
      <c r="E20" s="5" t="s">
        <v>15</v>
      </c>
      <c r="F20" s="13">
        <v>44902.0</v>
      </c>
      <c r="G20" s="13">
        <v>44918.0</v>
      </c>
      <c r="H20" s="13"/>
      <c r="I20" s="13"/>
      <c r="K20" s="5" t="str">
        <f t="shared" si="3"/>
        <v>#REF!</v>
      </c>
      <c r="L20" s="14">
        <v>1.0</v>
      </c>
      <c r="M20" s="14">
        <f t="shared" ref="M20:N20" si="21">IFS(L20=1,1,F20=TODAY(),0,(AND(F20=G20,F20=TODAY())),(NOW()-TODAY()),(TODAY()-F20)/N20&gt;=1,1,(TODAY()-F20)/N20&lt;0,0,AND((TODAY()-F20)/N20&lt;1,(TODAY()-F20)/N20&gt;0),(TODAY()-F20)/N20)</f>
        <v>1</v>
      </c>
      <c r="N20" s="5">
        <f t="shared" si="21"/>
        <v>1</v>
      </c>
    </row>
    <row r="21" ht="15.75" customHeight="1" outlineLevel="2">
      <c r="A21" s="12" t="s">
        <v>58</v>
      </c>
      <c r="B21" s="5" t="s">
        <v>41</v>
      </c>
      <c r="C21" s="5" t="s">
        <v>59</v>
      </c>
      <c r="D21" s="5"/>
      <c r="E21" s="5" t="s">
        <v>15</v>
      </c>
      <c r="F21" s="13">
        <v>44912.0</v>
      </c>
      <c r="G21" s="13">
        <v>44918.0</v>
      </c>
      <c r="H21" s="13"/>
      <c r="I21" s="13"/>
      <c r="K21" s="5" t="str">
        <f t="shared" si="3"/>
        <v>#REF!</v>
      </c>
      <c r="L21" s="14">
        <v>1.0</v>
      </c>
      <c r="M21" s="14">
        <f t="shared" ref="M21:N21" si="22">IFS(L21=1,1,F21=TODAY(),0,(AND(F21=G21,F21=TODAY())),(NOW()-TODAY()),(TODAY()-F21)/N21&gt;=1,1,(TODAY()-F21)/N21&lt;0,0,AND((TODAY()-F21)/N21&lt;1,(TODAY()-F21)/N21&gt;0),(TODAY()-F21)/N21)</f>
        <v>1</v>
      </c>
      <c r="N21" s="5">
        <f t="shared" si="22"/>
        <v>1</v>
      </c>
    </row>
    <row r="22" ht="15.75" customHeight="1" outlineLevel="1">
      <c r="A22" s="15" t="s">
        <v>60</v>
      </c>
      <c r="B22" s="16" t="s">
        <v>61</v>
      </c>
      <c r="C22" s="16"/>
      <c r="D22" s="16"/>
      <c r="E22" s="16"/>
      <c r="F22" s="17">
        <f>MIN(F23:F31)</f>
        <v>44888</v>
      </c>
      <c r="G22" s="17">
        <f>MAX(G23:G31)</f>
        <v>44964</v>
      </c>
      <c r="H22" s="17"/>
      <c r="I22" s="17"/>
      <c r="J22" s="16"/>
      <c r="K22" s="16" t="str">
        <f t="shared" si="3"/>
        <v>#REF!</v>
      </c>
      <c r="L22" s="18">
        <f t="shared" ref="L22:M22" si="23">AVERAGE(L23:L31)</f>
        <v>0.9222222222</v>
      </c>
      <c r="M22" s="18" t="str">
        <f t="shared" si="23"/>
        <v>#REF!</v>
      </c>
      <c r="N22" s="16" t="str">
        <f>IFS(M22=1,1,G22=TODAY(),0,(AND(G22=H22,G22=TODAY())),(NOW()-TODAY()),(TODAY()-G22)/O22&gt;=1,1,(TODAY()-G22)/O22&lt;0,0,AND((TODAY()-G22)/O22&lt;1,(TODAY()-G22)/O22&gt;0),(TODAY()-G22)/O22)</f>
        <v>#REF!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5.75" customHeight="1" outlineLevel="2">
      <c r="A23" s="12" t="s">
        <v>62</v>
      </c>
      <c r="B23" s="5" t="s">
        <v>61</v>
      </c>
      <c r="C23" s="5" t="s">
        <v>63</v>
      </c>
      <c r="D23" s="5"/>
      <c r="E23" s="5" t="s">
        <v>15</v>
      </c>
      <c r="F23" s="13">
        <v>44917.0</v>
      </c>
      <c r="G23" s="13">
        <f>WORKDAY(F23,28)</f>
        <v>44957</v>
      </c>
      <c r="H23" s="13"/>
      <c r="I23" s="13"/>
      <c r="K23" s="5" t="str">
        <f t="shared" si="3"/>
        <v>#REF!</v>
      </c>
      <c r="L23" s="14">
        <v>1.0</v>
      </c>
      <c r="M23" s="14">
        <f t="shared" ref="M23:N23" si="24">IFS(L23=1,1,F23=TODAY(),0,(AND(F23=G23,F23=TODAY())),(NOW()-TODAY()),(TODAY()-F23)/N23&gt;=1,1,(TODAY()-F23)/N23&lt;0,0,AND((TODAY()-F23)/N23&lt;1,(TODAY()-F23)/N23&gt;0),(TODAY()-F23)/N23)</f>
        <v>1</v>
      </c>
      <c r="N23" s="5">
        <f t="shared" si="24"/>
        <v>1</v>
      </c>
    </row>
    <row r="24" ht="15.75" customHeight="1" outlineLevel="2">
      <c r="A24" s="12" t="s">
        <v>64</v>
      </c>
      <c r="B24" s="5" t="s">
        <v>61</v>
      </c>
      <c r="C24" s="5" t="s">
        <v>65</v>
      </c>
      <c r="D24" s="5"/>
      <c r="E24" s="5" t="s">
        <v>15</v>
      </c>
      <c r="F24" s="13">
        <f t="shared" ref="F24:G24" si="25">F23</f>
        <v>44917</v>
      </c>
      <c r="G24" s="13">
        <f t="shared" si="25"/>
        <v>44957</v>
      </c>
      <c r="H24" s="13"/>
      <c r="I24" s="13"/>
      <c r="K24" s="5" t="str">
        <f t="shared" si="3"/>
        <v>#REF!</v>
      </c>
      <c r="L24" s="14">
        <v>1.0</v>
      </c>
      <c r="M24" s="14">
        <f t="shared" ref="M24:N24" si="26">IFS(L24=1,1,F24=TODAY(),0,(AND(F24=G24,F24=TODAY())),(NOW()-TODAY()),(TODAY()-F24)/N24&gt;=1,1,(TODAY()-F24)/N24&lt;0,0,AND((TODAY()-F24)/N24&lt;1,(TODAY()-F24)/N24&gt;0),(TODAY()-F24)/N24)</f>
        <v>1</v>
      </c>
      <c r="N24" s="5">
        <f t="shared" si="26"/>
        <v>1</v>
      </c>
    </row>
    <row r="25" ht="15.75" customHeight="1" outlineLevel="2">
      <c r="A25" s="12" t="s">
        <v>66</v>
      </c>
      <c r="B25" s="5" t="s">
        <v>61</v>
      </c>
      <c r="C25" s="5" t="s">
        <v>67</v>
      </c>
      <c r="D25" s="5"/>
      <c r="E25" s="5" t="s">
        <v>15</v>
      </c>
      <c r="F25" s="13">
        <v>44936.0</v>
      </c>
      <c r="G25" s="13">
        <f>WORKDAY(F25,20)</f>
        <v>44964</v>
      </c>
      <c r="H25" s="13"/>
      <c r="I25" s="13"/>
      <c r="K25" s="5" t="str">
        <f t="shared" si="3"/>
        <v>#REF!</v>
      </c>
      <c r="L25" s="14">
        <v>0.8</v>
      </c>
      <c r="M25" s="14" t="str">
        <f t="shared" ref="M25:N25" si="27">IFS(L25=1,1,F25=TODAY(),0,(AND(F25=G25,F25=TODAY())),(NOW()-TODAY()),(TODAY()-F25)/N25&gt;=1,1,(TODAY()-F25)/N25&lt;0,0,AND((TODAY()-F25)/N25&lt;1,(TODAY()-F25)/N25&gt;0),(TODAY()-F25)/N25)</f>
        <v>#REF!</v>
      </c>
      <c r="N25" s="5" t="str">
        <f t="shared" si="27"/>
        <v>#REF!</v>
      </c>
    </row>
    <row r="26" ht="15.75" customHeight="1" outlineLevel="2">
      <c r="A26" s="12" t="s">
        <v>68</v>
      </c>
      <c r="B26" s="5" t="s">
        <v>61</v>
      </c>
      <c r="C26" s="5" t="s">
        <v>69</v>
      </c>
      <c r="D26" s="5"/>
      <c r="E26" s="5" t="s">
        <v>15</v>
      </c>
      <c r="F26" s="13">
        <f t="shared" ref="F26:G26" si="28">F25</f>
        <v>44936</v>
      </c>
      <c r="G26" s="13">
        <f t="shared" si="28"/>
        <v>44964</v>
      </c>
      <c r="H26" s="13"/>
      <c r="I26" s="13"/>
      <c r="K26" s="5" t="str">
        <f t="shared" si="3"/>
        <v>#REF!</v>
      </c>
      <c r="L26" s="14">
        <v>0.8</v>
      </c>
      <c r="M26" s="14" t="str">
        <f t="shared" ref="M26:N26" si="29">IFS(L26=1,1,F26=TODAY(),0,(AND(F26=G26,F26=TODAY())),(NOW()-TODAY()),(TODAY()-F26)/N26&gt;=1,1,(TODAY()-F26)/N26&lt;0,0,AND((TODAY()-F26)/N26&lt;1,(TODAY()-F26)/N26&gt;0),(TODAY()-F26)/N26)</f>
        <v>#REF!</v>
      </c>
      <c r="N26" s="5" t="str">
        <f t="shared" si="29"/>
        <v>#REF!</v>
      </c>
    </row>
    <row r="27" ht="15.75" customHeight="1" outlineLevel="2">
      <c r="A27" s="12" t="s">
        <v>70</v>
      </c>
      <c r="B27" s="5" t="s">
        <v>61</v>
      </c>
      <c r="C27" s="5" t="s">
        <v>71</v>
      </c>
      <c r="D27" s="20" t="s">
        <v>72</v>
      </c>
      <c r="E27" s="5" t="s">
        <v>23</v>
      </c>
      <c r="F27" s="13">
        <v>44949.0</v>
      </c>
      <c r="G27" s="13">
        <f>WORKDAY(F27,2)</f>
        <v>44951</v>
      </c>
      <c r="H27" s="13"/>
      <c r="I27" s="13"/>
      <c r="K27" s="5" t="str">
        <f t="shared" si="3"/>
        <v>#REF!</v>
      </c>
      <c r="L27" s="14">
        <v>1.0</v>
      </c>
      <c r="M27" s="14">
        <f t="shared" ref="M27:N27" si="30">IFS(L27=1,1,F27=TODAY(),0,(AND(F27=G27,F27=TODAY())),(NOW()-TODAY()),(TODAY()-F27)/N27&gt;=1,1,(TODAY()-F27)/N27&lt;0,0,AND((TODAY()-F27)/N27&lt;1,(TODAY()-F27)/N27&gt;0),(TODAY()-F27)/N27)</f>
        <v>1</v>
      </c>
      <c r="N27" s="5">
        <f t="shared" si="30"/>
        <v>1</v>
      </c>
    </row>
    <row r="28" ht="15.75" customHeight="1" outlineLevel="2">
      <c r="A28" s="12" t="s">
        <v>73</v>
      </c>
      <c r="B28" s="5" t="s">
        <v>61</v>
      </c>
      <c r="C28" s="5" t="s">
        <v>74</v>
      </c>
      <c r="D28" s="5" t="s">
        <v>75</v>
      </c>
      <c r="E28" s="5" t="s">
        <v>15</v>
      </c>
      <c r="F28" s="13">
        <v>44888.0</v>
      </c>
      <c r="G28" s="13">
        <f>G24</f>
        <v>44957</v>
      </c>
      <c r="H28" s="13"/>
      <c r="I28" s="13"/>
      <c r="K28" s="5" t="str">
        <f t="shared" si="3"/>
        <v>#REF!</v>
      </c>
      <c r="L28" s="14">
        <v>1.0</v>
      </c>
      <c r="M28" s="14">
        <f t="shared" ref="M28:N28" si="31">IFS(L28=1,1,F28=TODAY(),0,(AND(F28=G28,F28=TODAY())),(NOW()-TODAY()),(TODAY()-F28)/N28&gt;=1,1,(TODAY()-F28)/N28&lt;0,0,AND((TODAY()-F28)/N28&lt;1,(TODAY()-F28)/N28&gt;0),(TODAY()-F28)/N28)</f>
        <v>1</v>
      </c>
      <c r="N28" s="5">
        <f t="shared" si="31"/>
        <v>1</v>
      </c>
    </row>
    <row r="29" ht="15.75" customHeight="1" outlineLevel="2">
      <c r="A29" s="12" t="s">
        <v>76</v>
      </c>
      <c r="B29" s="5" t="s">
        <v>61</v>
      </c>
      <c r="C29" s="5" t="s">
        <v>77</v>
      </c>
      <c r="D29" s="5" t="s">
        <v>78</v>
      </c>
      <c r="E29" s="5" t="s">
        <v>15</v>
      </c>
      <c r="F29" s="13">
        <f>WORKDAY(G28,-6)</f>
        <v>44949</v>
      </c>
      <c r="G29" s="13">
        <f>WORKDAY(F29,5)</f>
        <v>44956</v>
      </c>
      <c r="H29" s="13"/>
      <c r="I29" s="13"/>
      <c r="K29" s="5" t="str">
        <f t="shared" si="3"/>
        <v>#REF!</v>
      </c>
      <c r="L29" s="14">
        <v>0.7</v>
      </c>
      <c r="M29" s="14" t="str">
        <f t="shared" ref="M29:N29" si="32">IFS(L29=1,1,F29=TODAY(),0,(AND(F29=G29,F29=TODAY())),(NOW()-TODAY()),(TODAY()-F29)/N29&gt;=1,1,(TODAY()-F29)/N29&lt;0,0,AND((TODAY()-F29)/N29&lt;1,(TODAY()-F29)/N29&gt;0),(TODAY()-F29)/N29)</f>
        <v>#REF!</v>
      </c>
      <c r="N29" s="5" t="str">
        <f t="shared" si="32"/>
        <v>#REF!</v>
      </c>
    </row>
    <row r="30" ht="15.75" customHeight="1" outlineLevel="2">
      <c r="A30" s="12" t="s">
        <v>79</v>
      </c>
      <c r="B30" s="5" t="s">
        <v>61</v>
      </c>
      <c r="C30" s="5" t="s">
        <v>80</v>
      </c>
      <c r="D30" s="5" t="s">
        <v>75</v>
      </c>
      <c r="E30" s="5" t="s">
        <v>15</v>
      </c>
      <c r="F30" s="13">
        <v>44929.0</v>
      </c>
      <c r="G30" s="13">
        <f>WORKDAY(F30,20)</f>
        <v>44957</v>
      </c>
      <c r="H30" s="13"/>
      <c r="I30" s="13"/>
      <c r="K30" s="5" t="str">
        <f t="shared" si="3"/>
        <v>#REF!</v>
      </c>
      <c r="L30" s="14">
        <v>1.0</v>
      </c>
      <c r="M30" s="14">
        <f t="shared" ref="M30:N30" si="33">IFS(L30=1,1,F30=TODAY(),0,(AND(F30=G30,F30=TODAY())),(NOW()-TODAY()),(TODAY()-F30)/N30&gt;=1,1,(TODAY()-F30)/N30&lt;0,0,AND((TODAY()-F30)/N30&lt;1,(TODAY()-F30)/N30&gt;0),(TODAY()-F30)/N30)</f>
        <v>1</v>
      </c>
      <c r="N30" s="5">
        <f t="shared" si="33"/>
        <v>1</v>
      </c>
    </row>
    <row r="31" ht="15.75" customHeight="1" outlineLevel="2">
      <c r="A31" s="12" t="s">
        <v>81</v>
      </c>
      <c r="B31" s="5" t="s">
        <v>61</v>
      </c>
      <c r="C31" s="5" t="s">
        <v>82</v>
      </c>
      <c r="D31" s="5" t="s">
        <v>83</v>
      </c>
      <c r="E31" s="5" t="s">
        <v>15</v>
      </c>
      <c r="F31" s="13">
        <v>44908.0</v>
      </c>
      <c r="G31" s="13">
        <v>44932.0</v>
      </c>
      <c r="H31" s="13">
        <f>F31</f>
        <v>44908</v>
      </c>
      <c r="I31" s="13">
        <v>44943.0</v>
      </c>
      <c r="J31" s="5" t="s">
        <v>84</v>
      </c>
      <c r="K31" s="5" t="str">
        <f t="shared" si="3"/>
        <v>#REF!</v>
      </c>
      <c r="L31" s="14">
        <v>1.0</v>
      </c>
      <c r="M31" s="14">
        <f t="shared" ref="M31:N31" si="34">IFS(L31=1,1,F31=TODAY(),0,(AND(F31=G31,F31=TODAY())),(NOW()-TODAY()),(TODAY()-F31)/N31&gt;=1,1,(TODAY()-F31)/N31&lt;0,0,AND((TODAY()-F31)/N31&lt;1,(TODAY()-F31)/N31&gt;0),(TODAY()-F31)/N31)</f>
        <v>1</v>
      </c>
      <c r="N31" s="5">
        <f t="shared" si="34"/>
        <v>1</v>
      </c>
    </row>
    <row r="32" ht="16.5" customHeight="1">
      <c r="A32" s="6" t="s">
        <v>85</v>
      </c>
      <c r="B32" s="21" t="s">
        <v>86</v>
      </c>
      <c r="C32" s="8" t="s">
        <v>87</v>
      </c>
      <c r="D32" s="8"/>
      <c r="E32" s="22" t="s">
        <v>88</v>
      </c>
      <c r="F32" s="10">
        <f>MIN(F87,F33)</f>
        <v>44938</v>
      </c>
      <c r="G32" s="10">
        <f>MAX(G87,G33)</f>
        <v>45064</v>
      </c>
      <c r="H32" s="10"/>
      <c r="I32" s="10"/>
      <c r="J32" s="7"/>
      <c r="K32" s="7" t="str">
        <f t="shared" si="3"/>
        <v>#REF!</v>
      </c>
      <c r="L32" s="11">
        <f t="shared" ref="L32:M32" si="35">AVERAGE(L33,L87,L100)</f>
        <v>0.01822916667</v>
      </c>
      <c r="M32" s="11" t="str">
        <f t="shared" si="35"/>
        <v>#REF!</v>
      </c>
      <c r="N32" s="7" t="str">
        <f t="shared" ref="N32:N34" si="37">IFS(M32=1,1,G32=TODAY(),0,(AND(G32=H32,G32=TODAY())),(NOW()-TODAY()),(TODAY()-G32)/O32&gt;=1,1,(TODAY()-G32)/O32&lt;0,0,AND((TODAY()-G32)/O32&lt;1,(TODAY()-G32)/O32&gt;0),(TODAY()-G32)/O32)</f>
        <v>#REF!</v>
      </c>
    </row>
    <row r="33" ht="15.75" customHeight="1" outlineLevel="1">
      <c r="A33" s="15" t="s">
        <v>89</v>
      </c>
      <c r="B33" s="16" t="s">
        <v>90</v>
      </c>
      <c r="C33" s="16"/>
      <c r="D33" s="16"/>
      <c r="E33" s="16"/>
      <c r="F33" s="17">
        <f>MIN(F34:F86)</f>
        <v>44938</v>
      </c>
      <c r="G33" s="17">
        <f>MAX(G34:G86)</f>
        <v>45005</v>
      </c>
      <c r="H33" s="17"/>
      <c r="I33" s="17"/>
      <c r="J33" s="16"/>
      <c r="K33" s="16" t="str">
        <f t="shared" si="3"/>
        <v>#REF!</v>
      </c>
      <c r="L33" s="18">
        <f t="shared" ref="L33:M33" si="36">AVERAGE(L34,L67,L73,L80)</f>
        <v>0.0546875</v>
      </c>
      <c r="M33" s="18" t="str">
        <f t="shared" si="36"/>
        <v>#REF!</v>
      </c>
      <c r="N33" s="16" t="str">
        <f t="shared" si="37"/>
        <v>#REF!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5.75" customHeight="1" outlineLevel="2">
      <c r="A34" s="23" t="s">
        <v>91</v>
      </c>
      <c r="B34" s="24" t="s">
        <v>92</v>
      </c>
      <c r="C34" s="24"/>
      <c r="D34" s="24"/>
      <c r="E34" s="24"/>
      <c r="F34" s="25">
        <f>MIN(F35:F66)</f>
        <v>44938</v>
      </c>
      <c r="G34" s="25">
        <f>MAX(G35:G66)</f>
        <v>45005</v>
      </c>
      <c r="H34" s="25"/>
      <c r="I34" s="25"/>
      <c r="J34" s="24"/>
      <c r="K34" s="24" t="str">
        <f t="shared" si="3"/>
        <v>#REF!</v>
      </c>
      <c r="L34" s="26">
        <f t="shared" ref="L34:M34" si="38">AVERAGE(L35:L66)</f>
        <v>0.21875</v>
      </c>
      <c r="M34" s="26" t="str">
        <f t="shared" si="38"/>
        <v>#REF!</v>
      </c>
      <c r="N34" s="24" t="str">
        <f t="shared" si="37"/>
        <v>#REF!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ht="15.75" customHeight="1" outlineLevel="3">
      <c r="A35" s="12" t="s">
        <v>93</v>
      </c>
      <c r="B35" s="5" t="s">
        <v>94</v>
      </c>
      <c r="C35" s="5" t="s">
        <v>95</v>
      </c>
      <c r="D35" s="5"/>
      <c r="E35" s="5" t="s">
        <v>96</v>
      </c>
      <c r="F35" s="13">
        <v>44938.0</v>
      </c>
      <c r="G35" s="13">
        <f>WORKDAY(F35,6)</f>
        <v>44946</v>
      </c>
      <c r="H35" s="13"/>
      <c r="I35" s="13"/>
      <c r="K35" s="5" t="str">
        <f t="shared" si="3"/>
        <v>#REF!</v>
      </c>
      <c r="L35" s="14">
        <v>1.0</v>
      </c>
      <c r="M35" s="14">
        <f t="shared" ref="M35:N35" si="39">IFS(L35=1,1,F35=TODAY(),0,(AND(F35=G35,F35=TODAY())),(NOW()-TODAY()),(TODAY()-F35)/N35&gt;=1,1,(TODAY()-F35)/N35&lt;0,0,AND((TODAY()-F35)/N35&lt;1,(TODAY()-F35)/N35&gt;0),(TODAY()-F35)/N35)</f>
        <v>1</v>
      </c>
      <c r="N35" s="5">
        <f t="shared" si="39"/>
        <v>1</v>
      </c>
    </row>
    <row r="36" ht="15.75" customHeight="1" outlineLevel="3">
      <c r="A36" s="12" t="s">
        <v>97</v>
      </c>
      <c r="B36" s="5" t="s">
        <v>94</v>
      </c>
      <c r="C36" s="5" t="s">
        <v>98</v>
      </c>
      <c r="D36" s="5"/>
      <c r="E36" s="5" t="s">
        <v>96</v>
      </c>
      <c r="F36" s="13">
        <v>44958.0</v>
      </c>
      <c r="G36" s="13">
        <f>WORKDAY(F36,4)</f>
        <v>44964</v>
      </c>
      <c r="H36" s="13"/>
      <c r="I36" s="13"/>
      <c r="K36" s="5" t="str">
        <f t="shared" si="3"/>
        <v>#REF!</v>
      </c>
      <c r="L36" s="14">
        <v>1.0</v>
      </c>
      <c r="M36" s="14">
        <f t="shared" ref="M36:N36" si="40">IFS(L36=1,1,F36=TODAY(),0,(AND(F36=G36,F36=TODAY())),(NOW()-TODAY()),(TODAY()-F36)/N36&gt;=1,1,(TODAY()-F36)/N36&lt;0,0,AND((TODAY()-F36)/N36&lt;1,(TODAY()-F36)/N36&gt;0),(TODAY()-F36)/N36)</f>
        <v>1</v>
      </c>
      <c r="N36" s="5">
        <f t="shared" si="40"/>
        <v>1</v>
      </c>
    </row>
    <row r="37" ht="15.75" customHeight="1" outlineLevel="3">
      <c r="A37" s="12" t="s">
        <v>99</v>
      </c>
      <c r="B37" s="5" t="s">
        <v>94</v>
      </c>
      <c r="C37" s="5" t="s">
        <v>100</v>
      </c>
      <c r="D37" s="5"/>
      <c r="E37" s="5" t="s">
        <v>96</v>
      </c>
      <c r="F37" s="13">
        <f>WORKDAY(G36,-1)</f>
        <v>44963</v>
      </c>
      <c r="G37" s="13">
        <f>WORKDAY(F37,2)</f>
        <v>44965</v>
      </c>
      <c r="H37" s="13"/>
      <c r="I37" s="13"/>
      <c r="K37" s="5" t="str">
        <f t="shared" si="3"/>
        <v>#REF!</v>
      </c>
      <c r="L37" s="14">
        <v>1.0</v>
      </c>
      <c r="M37" s="14">
        <f t="shared" ref="M37:N37" si="41">IFS(L37=1,1,F37=TODAY(),0,(AND(F37=G37,F37=TODAY())),(NOW()-TODAY()),(TODAY()-F37)/N37&gt;=1,1,(TODAY()-F37)/N37&lt;0,0,AND((TODAY()-F37)/N37&lt;1,(TODAY()-F37)/N37&gt;0),(TODAY()-F37)/N37)</f>
        <v>1</v>
      </c>
      <c r="N37" s="5">
        <f t="shared" si="41"/>
        <v>1</v>
      </c>
    </row>
    <row r="38" ht="15.75" customHeight="1" outlineLevel="3">
      <c r="A38" s="12" t="s">
        <v>101</v>
      </c>
      <c r="B38" s="5" t="s">
        <v>94</v>
      </c>
      <c r="C38" s="5" t="s">
        <v>102</v>
      </c>
      <c r="D38" s="5"/>
      <c r="E38" s="5" t="s">
        <v>96</v>
      </c>
      <c r="F38" s="13">
        <f t="shared" ref="F38:F42" si="43">WORKDAY(G37,1)</f>
        <v>44966</v>
      </c>
      <c r="G38" s="13">
        <f>WORKDAY(F38,3)</f>
        <v>44971</v>
      </c>
      <c r="H38" s="13"/>
      <c r="I38" s="13"/>
      <c r="K38" s="5" t="str">
        <f t="shared" si="3"/>
        <v>#REF!</v>
      </c>
      <c r="L38" s="14">
        <v>0.0</v>
      </c>
      <c r="M38" s="14" t="str">
        <f t="shared" ref="M38:N38" si="42">IFS(L38=1,1,F38=TODAY(),0,(AND(F38=G38,F38=TODAY())),(NOW()-TODAY()),(TODAY()-F38)/N38&gt;=1,1,(TODAY()-F38)/N38&lt;0,0,AND((TODAY()-F38)/N38&lt;1,(TODAY()-F38)/N38&gt;0),(TODAY()-F38)/N38)</f>
        <v>#REF!</v>
      </c>
      <c r="N38" s="5" t="str">
        <f t="shared" si="42"/>
        <v>#REF!</v>
      </c>
    </row>
    <row r="39" ht="15.75" customHeight="1" outlineLevel="3">
      <c r="A39" s="12" t="s">
        <v>103</v>
      </c>
      <c r="B39" s="5" t="s">
        <v>65</v>
      </c>
      <c r="C39" s="5" t="s">
        <v>104</v>
      </c>
      <c r="D39" s="5"/>
      <c r="E39" s="5" t="s">
        <v>96</v>
      </c>
      <c r="F39" s="27">
        <f t="shared" si="43"/>
        <v>44972</v>
      </c>
      <c r="G39" s="27">
        <f>WORKDAY(F39,2)</f>
        <v>44974</v>
      </c>
      <c r="H39" s="5"/>
      <c r="I39" s="13"/>
      <c r="J39" s="5"/>
      <c r="K39" s="28" t="str">
        <f t="shared" si="3"/>
        <v>#REF!</v>
      </c>
      <c r="L39" s="14">
        <v>0.0</v>
      </c>
      <c r="M39" s="14" t="str">
        <f t="shared" ref="M39:N39" si="44">IFS(L39=1,1,F39=TODAY(),0,(AND(F39=G39,F39=TODAY())),(NOW()-TODAY()),(TODAY()-F39)/N39&gt;=1,1,(TODAY()-F39)/N39&lt;0,0,AND((TODAY()-F39)/N39&lt;1,(TODAY()-F39)/N39&gt;0),(TODAY()-F39)/N39)</f>
        <v>#REF!</v>
      </c>
      <c r="N39" s="29" t="str">
        <f t="shared" si="44"/>
        <v>#REF!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 outlineLevel="3">
      <c r="A40" s="12" t="s">
        <v>103</v>
      </c>
      <c r="B40" s="5" t="s">
        <v>65</v>
      </c>
      <c r="C40" s="5" t="s">
        <v>105</v>
      </c>
      <c r="D40" s="5"/>
      <c r="E40" s="5" t="s">
        <v>96</v>
      </c>
      <c r="F40" s="27">
        <f t="shared" si="43"/>
        <v>44977</v>
      </c>
      <c r="G40" s="27">
        <f>WORKDAY(F40,3)</f>
        <v>44980</v>
      </c>
      <c r="H40" s="5"/>
      <c r="I40" s="13"/>
      <c r="J40" s="5"/>
      <c r="K40" s="28" t="str">
        <f t="shared" si="3"/>
        <v>#REF!</v>
      </c>
      <c r="L40" s="14">
        <v>0.0</v>
      </c>
      <c r="M40" s="14" t="str">
        <f t="shared" ref="M40:N40" si="45">IFS(L40=1,1,F40=TODAY(),0,(AND(F40=G40,F40=TODAY())),(NOW()-TODAY()),(TODAY()-F40)/N40&gt;=1,1,(TODAY()-F40)/N40&lt;0,0,AND((TODAY()-F40)/N40&lt;1,(TODAY()-F40)/N40&gt;0),(TODAY()-F40)/N40)</f>
        <v>#REF!</v>
      </c>
      <c r="N40" s="29" t="str">
        <f t="shared" si="45"/>
        <v>#REF!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 outlineLevel="3">
      <c r="A41" s="12" t="s">
        <v>103</v>
      </c>
      <c r="B41" s="5" t="s">
        <v>65</v>
      </c>
      <c r="C41" s="5" t="s">
        <v>106</v>
      </c>
      <c r="D41" s="5"/>
      <c r="E41" s="5" t="s">
        <v>96</v>
      </c>
      <c r="F41" s="13">
        <f t="shared" si="43"/>
        <v>44981</v>
      </c>
      <c r="G41" s="27">
        <f>WORKDAY(F41,2)</f>
        <v>44985</v>
      </c>
      <c r="I41" s="13"/>
      <c r="K41" s="5" t="str">
        <f t="shared" si="3"/>
        <v>#REF!</v>
      </c>
      <c r="L41" s="14">
        <v>0.0</v>
      </c>
      <c r="M41" s="14" t="str">
        <f t="shared" ref="M41:N41" si="46">IFS(L41=1,1,F41=TODAY(),0,(AND(F41=G41,F41=TODAY())),(NOW()-TODAY()),(TODAY()-F41)/N41&gt;=1,1,(TODAY()-F41)/N41&lt;0,0,AND((TODAY()-F41)/N41&lt;1,(TODAY()-F41)/N41&gt;0),(TODAY()-F41)/N41)</f>
        <v>#REF!</v>
      </c>
      <c r="N41" s="5" t="str">
        <f t="shared" si="46"/>
        <v>#REF!</v>
      </c>
    </row>
    <row r="42" ht="15.75" customHeight="1" outlineLevel="3">
      <c r="A42" s="12" t="s">
        <v>103</v>
      </c>
      <c r="B42" s="5" t="s">
        <v>107</v>
      </c>
      <c r="C42" s="5" t="s">
        <v>108</v>
      </c>
      <c r="D42" s="5"/>
      <c r="E42" s="5" t="s">
        <v>96</v>
      </c>
      <c r="F42" s="13">
        <f t="shared" si="43"/>
        <v>44986</v>
      </c>
      <c r="G42" s="13">
        <f>WORKDAY(F42,1)</f>
        <v>44987</v>
      </c>
      <c r="I42" s="13"/>
      <c r="K42" s="5" t="str">
        <f t="shared" si="3"/>
        <v>#REF!</v>
      </c>
      <c r="L42" s="14">
        <v>0.0</v>
      </c>
      <c r="M42" s="14" t="str">
        <f t="shared" ref="M42:N42" si="47">IFS(L42=1,1,F42=TODAY(),0,(AND(F42=G42,F42=TODAY())),(NOW()-TODAY()),(TODAY()-F42)/N42&gt;=1,1,(TODAY()-F42)/N42&lt;0,0,AND((TODAY()-F42)/N42&lt;1,(TODAY()-F42)/N42&gt;0),(TODAY()-F42)/N42)</f>
        <v>#REF!</v>
      </c>
      <c r="N42" s="5" t="str">
        <f t="shared" si="47"/>
        <v>#REF!</v>
      </c>
    </row>
    <row r="43" ht="15.75" customHeight="1" outlineLevel="3">
      <c r="A43" s="12" t="s">
        <v>103</v>
      </c>
      <c r="B43" s="5" t="s">
        <v>65</v>
      </c>
      <c r="C43" s="24" t="s">
        <v>109</v>
      </c>
      <c r="D43" s="5"/>
      <c r="E43" s="5" t="s">
        <v>96</v>
      </c>
      <c r="F43" s="13">
        <f>WORKDAY(G41,1)</f>
        <v>44986</v>
      </c>
      <c r="G43" s="13">
        <f>WORKDAY(F43,3)</f>
        <v>44991</v>
      </c>
      <c r="I43" s="13"/>
      <c r="K43" s="5" t="str">
        <f t="shared" si="3"/>
        <v>#REF!</v>
      </c>
      <c r="L43" s="14">
        <v>0.0</v>
      </c>
      <c r="M43" s="14" t="str">
        <f t="shared" ref="M43:N43" si="48">IFS(L43=1,1,F43=TODAY(),0,(AND(F43=G43,F43=TODAY())),(NOW()-TODAY()),(TODAY()-F43)/N43&gt;=1,1,(TODAY()-F43)/N43&lt;0,0,AND((TODAY()-F43)/N43&lt;1,(TODAY()-F43)/N43&gt;0),(TODAY()-F43)/N43)</f>
        <v>#REF!</v>
      </c>
      <c r="N43" s="5" t="str">
        <f t="shared" si="48"/>
        <v>#REF!</v>
      </c>
    </row>
    <row r="44" ht="15.75" customHeight="1" outlineLevel="3">
      <c r="A44" s="12" t="s">
        <v>110</v>
      </c>
      <c r="B44" s="5" t="s">
        <v>94</v>
      </c>
      <c r="C44" s="5" t="s">
        <v>111</v>
      </c>
      <c r="D44" s="5"/>
      <c r="E44" s="5" t="s">
        <v>96</v>
      </c>
      <c r="F44" s="13">
        <v>44938.0</v>
      </c>
      <c r="G44" s="13">
        <f>WORKDAY(F44,6)</f>
        <v>44946</v>
      </c>
      <c r="H44" s="13"/>
      <c r="I44" s="13"/>
      <c r="K44" s="5" t="str">
        <f t="shared" si="3"/>
        <v>#REF!</v>
      </c>
      <c r="L44" s="14">
        <v>1.0</v>
      </c>
      <c r="M44" s="14">
        <f t="shared" ref="M44:N44" si="49">IFS(L44=1,1,F44=TODAY(),0,(AND(F44=G44,F44=TODAY())),(NOW()-TODAY()),(TODAY()-F44)/N44&gt;=1,1,(TODAY()-F44)/N44&lt;0,0,AND((TODAY()-F44)/N44&lt;1,(TODAY()-F44)/N44&gt;0),(TODAY()-F44)/N44)</f>
        <v>1</v>
      </c>
      <c r="N44" s="5">
        <f t="shared" si="49"/>
        <v>1</v>
      </c>
    </row>
    <row r="45" ht="15.75" customHeight="1" outlineLevel="3">
      <c r="A45" s="12" t="s">
        <v>112</v>
      </c>
      <c r="B45" s="5" t="s">
        <v>94</v>
      </c>
      <c r="C45" s="5" t="s">
        <v>113</v>
      </c>
      <c r="D45" s="5"/>
      <c r="E45" s="5" t="s">
        <v>96</v>
      </c>
      <c r="F45" s="13">
        <v>44958.0</v>
      </c>
      <c r="G45" s="13">
        <f t="shared" ref="G45:G46" si="51">WORKDAY(F45,5)</f>
        <v>44965</v>
      </c>
      <c r="H45" s="13"/>
      <c r="I45" s="13"/>
      <c r="K45" s="5" t="str">
        <f t="shared" si="3"/>
        <v>#REF!</v>
      </c>
      <c r="L45" s="14">
        <v>1.0</v>
      </c>
      <c r="M45" s="14">
        <f t="shared" ref="M45:N45" si="50">IFS(L45=1,1,F45=TODAY(),0,(AND(F45=G45,F45=TODAY())),(NOW()-TODAY()),(TODAY()-F45)/N45&gt;=1,1,(TODAY()-F45)/N45&lt;0,0,AND((TODAY()-F45)/N45&lt;1,(TODAY()-F45)/N45&gt;0),(TODAY()-F45)/N45)</f>
        <v>1</v>
      </c>
      <c r="N45" s="5">
        <f t="shared" si="50"/>
        <v>1</v>
      </c>
    </row>
    <row r="46" ht="15.75" customHeight="1" outlineLevel="3">
      <c r="A46" s="12" t="s">
        <v>114</v>
      </c>
      <c r="B46" s="5" t="s">
        <v>94</v>
      </c>
      <c r="C46" s="5" t="s">
        <v>115</v>
      </c>
      <c r="D46" s="5"/>
      <c r="E46" s="5" t="s">
        <v>96</v>
      </c>
      <c r="F46" s="13">
        <f>WORKDAY(G45,1)</f>
        <v>44966</v>
      </c>
      <c r="G46" s="13">
        <f t="shared" si="51"/>
        <v>44973</v>
      </c>
      <c r="H46" s="13"/>
      <c r="I46" s="13"/>
      <c r="K46" s="5" t="str">
        <f t="shared" si="3"/>
        <v>#REF!</v>
      </c>
      <c r="L46" s="14">
        <v>1.0</v>
      </c>
      <c r="M46" s="14">
        <f t="shared" ref="M46:N46" si="52">IFS(L46=1,1,F46=TODAY(),0,(AND(F46=G46,F46=TODAY())),(NOW()-TODAY()),(TODAY()-F46)/N46&gt;=1,1,(TODAY()-F46)/N46&lt;0,0,AND((TODAY()-F46)/N46&lt;1,(TODAY()-F46)/N46&gt;0),(TODAY()-F46)/N46)</f>
        <v>1</v>
      </c>
      <c r="N46" s="5">
        <f t="shared" si="52"/>
        <v>1</v>
      </c>
    </row>
    <row r="47" ht="15.75" customHeight="1" outlineLevel="3">
      <c r="A47" s="12" t="s">
        <v>116</v>
      </c>
      <c r="B47" s="5" t="s">
        <v>94</v>
      </c>
      <c r="C47" s="5" t="s">
        <v>117</v>
      </c>
      <c r="D47" s="5"/>
      <c r="E47" s="5" t="s">
        <v>96</v>
      </c>
      <c r="F47" s="13">
        <f>WORKDAY(G46,-1)</f>
        <v>44972</v>
      </c>
      <c r="G47" s="13">
        <f>WORKDAY(F47,1)</f>
        <v>44973</v>
      </c>
      <c r="H47" s="13"/>
      <c r="I47" s="13"/>
      <c r="K47" s="5" t="str">
        <f t="shared" si="3"/>
        <v>#REF!</v>
      </c>
      <c r="L47" s="14">
        <v>0.0</v>
      </c>
      <c r="M47" s="14" t="str">
        <f t="shared" ref="M47:N47" si="53">IFS(L47=1,1,F47=TODAY(),0,(AND(F47=G47,F47=TODAY())),(NOW()-TODAY()),(TODAY()-F47)/N47&gt;=1,1,(TODAY()-F47)/N47&lt;0,0,AND((TODAY()-F47)/N47&lt;1,(TODAY()-F47)/N47&gt;0),(TODAY()-F47)/N47)</f>
        <v>#REF!</v>
      </c>
      <c r="N47" s="5" t="str">
        <f t="shared" si="53"/>
        <v>#REF!</v>
      </c>
    </row>
    <row r="48" ht="15.75" customHeight="1" outlineLevel="3">
      <c r="A48" s="12" t="s">
        <v>103</v>
      </c>
      <c r="B48" s="5" t="s">
        <v>65</v>
      </c>
      <c r="C48" s="5" t="s">
        <v>118</v>
      </c>
      <c r="D48" s="5"/>
      <c r="E48" s="5" t="s">
        <v>96</v>
      </c>
      <c r="F48" s="27">
        <f t="shared" ref="F48:F50" si="55">WORKDAY(G47,1)</f>
        <v>44974</v>
      </c>
      <c r="G48" s="27">
        <f>WORKDAY(F48,2)</f>
        <v>44978</v>
      </c>
      <c r="H48" s="5"/>
      <c r="I48" s="13"/>
      <c r="J48" s="5"/>
      <c r="K48" s="28" t="str">
        <f t="shared" si="3"/>
        <v>#REF!</v>
      </c>
      <c r="L48" s="14">
        <v>0.0</v>
      </c>
      <c r="M48" s="14" t="str">
        <f t="shared" ref="M48:N48" si="54">IFS(L48=1,1,F48=TODAY(),0,(AND(F48=G48,F48=TODAY())),(NOW()-TODAY()),(TODAY()-F48)/N48&gt;=1,1,(TODAY()-F48)/N48&lt;0,0,AND((TODAY()-F48)/N48&lt;1,(TODAY()-F48)/N48&gt;0),(TODAY()-F48)/N48)</f>
        <v>#REF!</v>
      </c>
      <c r="N48" s="29" t="str">
        <f t="shared" si="54"/>
        <v>#REF!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 outlineLevel="3">
      <c r="A49" s="12" t="s">
        <v>103</v>
      </c>
      <c r="B49" s="5" t="s">
        <v>65</v>
      </c>
      <c r="C49" s="5" t="s">
        <v>119</v>
      </c>
      <c r="D49" s="5"/>
      <c r="E49" s="5" t="s">
        <v>96</v>
      </c>
      <c r="F49" s="27">
        <f t="shared" si="55"/>
        <v>44979</v>
      </c>
      <c r="G49" s="27">
        <f>WORKDAY(F49,4)</f>
        <v>44985</v>
      </c>
      <c r="I49" s="13"/>
      <c r="K49" s="5" t="str">
        <f t="shared" si="3"/>
        <v>#REF!</v>
      </c>
      <c r="L49" s="14">
        <v>0.0</v>
      </c>
      <c r="M49" s="14" t="str">
        <f t="shared" ref="M49:N49" si="56">IFS(L49=1,1,F49=TODAY(),0,(AND(F49=G49,F49=TODAY())),(NOW()-TODAY()),(TODAY()-F49)/N49&gt;=1,1,(TODAY()-F49)/N49&lt;0,0,AND((TODAY()-F49)/N49&lt;1,(TODAY()-F49)/N49&gt;0),(TODAY()-F49)/N49)</f>
        <v>#REF!</v>
      </c>
      <c r="N49" s="5" t="str">
        <f t="shared" si="56"/>
        <v>#REF!</v>
      </c>
    </row>
    <row r="50" ht="15.75" customHeight="1" outlineLevel="3">
      <c r="A50" s="12" t="s">
        <v>103</v>
      </c>
      <c r="B50" s="5" t="s">
        <v>107</v>
      </c>
      <c r="C50" s="5" t="s">
        <v>120</v>
      </c>
      <c r="D50" s="5"/>
      <c r="E50" s="5" t="s">
        <v>96</v>
      </c>
      <c r="F50" s="13">
        <f t="shared" si="55"/>
        <v>44986</v>
      </c>
      <c r="G50" s="13">
        <f>WORKDAY(F50,1)</f>
        <v>44987</v>
      </c>
      <c r="I50" s="13"/>
      <c r="K50" s="5" t="str">
        <f t="shared" si="3"/>
        <v>#REF!</v>
      </c>
      <c r="L50" s="14">
        <v>0.0</v>
      </c>
      <c r="M50" s="14" t="str">
        <f t="shared" ref="M50:N50" si="57">IFS(L50=1,1,F50=TODAY(),0,(AND(F50=G50,F50=TODAY())),(NOW()-TODAY()),(TODAY()-F50)/N50&gt;=1,1,(TODAY()-F50)/N50&lt;0,0,AND((TODAY()-F50)/N50&lt;1,(TODAY()-F50)/N50&gt;0),(TODAY()-F50)/N50)</f>
        <v>#REF!</v>
      </c>
      <c r="N50" s="5" t="str">
        <f t="shared" si="57"/>
        <v>#REF!</v>
      </c>
    </row>
    <row r="51" ht="15.75" customHeight="1" outlineLevel="3">
      <c r="A51" s="12" t="s">
        <v>103</v>
      </c>
      <c r="B51" s="5" t="s">
        <v>65</v>
      </c>
      <c r="C51" s="5" t="s">
        <v>121</v>
      </c>
      <c r="D51" s="5"/>
      <c r="E51" s="5" t="s">
        <v>96</v>
      </c>
      <c r="F51" s="13">
        <f>WORKDAY(G49,1)</f>
        <v>44986</v>
      </c>
      <c r="G51" s="13">
        <f>WORKDAY(F51,4)</f>
        <v>44992</v>
      </c>
      <c r="H51" s="5"/>
      <c r="I51" s="13"/>
      <c r="J51" s="5"/>
      <c r="K51" s="28" t="str">
        <f t="shared" si="3"/>
        <v>#REF!</v>
      </c>
      <c r="L51" s="14">
        <v>0.0</v>
      </c>
      <c r="M51" s="14" t="str">
        <f t="shared" ref="M51:N51" si="58">IFS(L51=1,1,F51=TODAY(),0,(AND(F51=G51,F51=TODAY())),(NOW()-TODAY()),(TODAY()-F51)/N51&gt;=1,1,(TODAY()-F51)/N51&lt;0,0,AND((TODAY()-F51)/N51&lt;1,(TODAY()-F51)/N51&gt;0),(TODAY()-F51)/N51)</f>
        <v>#REF!</v>
      </c>
      <c r="N51" s="29" t="str">
        <f t="shared" si="58"/>
        <v>#REF!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 outlineLevel="3">
      <c r="A52" s="12" t="s">
        <v>122</v>
      </c>
      <c r="B52" s="5" t="s">
        <v>94</v>
      </c>
      <c r="C52" s="5" t="s">
        <v>123</v>
      </c>
      <c r="D52" s="5"/>
      <c r="E52" s="5" t="s">
        <v>96</v>
      </c>
      <c r="F52" s="13">
        <v>44966.0</v>
      </c>
      <c r="G52" s="13">
        <f t="shared" ref="G52:G53" si="60">WORKDAY(F52,6)</f>
        <v>44974</v>
      </c>
      <c r="H52" s="13"/>
      <c r="I52" s="13"/>
      <c r="K52" s="5" t="str">
        <f t="shared" si="3"/>
        <v>#REF!</v>
      </c>
      <c r="L52" s="14">
        <v>0.0</v>
      </c>
      <c r="M52" s="14" t="str">
        <f t="shared" ref="M52:N52" si="59">IFS(L52=1,1,F52=TODAY(),0,(AND(F52=G52,F52=TODAY())),(NOW()-TODAY()),(TODAY()-F52)/N52&gt;=1,1,(TODAY()-F52)/N52&lt;0,0,AND((TODAY()-F52)/N52&lt;1,(TODAY()-F52)/N52&gt;0),(TODAY()-F52)/N52)</f>
        <v>#REF!</v>
      </c>
      <c r="N52" s="5" t="str">
        <f t="shared" si="59"/>
        <v>#REF!</v>
      </c>
    </row>
    <row r="53" ht="15.75" customHeight="1" outlineLevel="3">
      <c r="A53" s="12" t="s">
        <v>124</v>
      </c>
      <c r="B53" s="5" t="s">
        <v>94</v>
      </c>
      <c r="C53" s="24" t="s">
        <v>125</v>
      </c>
      <c r="D53" s="5"/>
      <c r="E53" s="5" t="s">
        <v>96</v>
      </c>
      <c r="F53" s="13">
        <f t="shared" ref="F53:F56" si="62">WORKDAY(G52,1)</f>
        <v>44977</v>
      </c>
      <c r="G53" s="13">
        <f t="shared" si="60"/>
        <v>44985</v>
      </c>
      <c r="H53" s="13"/>
      <c r="I53" s="13"/>
      <c r="K53" s="5" t="str">
        <f t="shared" si="3"/>
        <v>#REF!</v>
      </c>
      <c r="L53" s="14">
        <v>0.0</v>
      </c>
      <c r="M53" s="14" t="str">
        <f t="shared" ref="M53:N53" si="61">IFS(L53=1,1,F53=TODAY(),0,(AND(F53=G53,F53=TODAY())),(NOW()-TODAY()),(TODAY()-F53)/N53&gt;=1,1,(TODAY()-F53)/N53&lt;0,0,AND((TODAY()-F53)/N53&lt;1,(TODAY()-F53)/N53&gt;0),(TODAY()-F53)/N53)</f>
        <v>#REF!</v>
      </c>
      <c r="N53" s="5" t="str">
        <f t="shared" si="61"/>
        <v>#REF!</v>
      </c>
    </row>
    <row r="54" ht="15.75" customHeight="1" outlineLevel="3">
      <c r="A54" s="12" t="s">
        <v>114</v>
      </c>
      <c r="B54" s="5" t="s">
        <v>94</v>
      </c>
      <c r="C54" s="5" t="s">
        <v>126</v>
      </c>
      <c r="D54" s="5"/>
      <c r="E54" s="5" t="s">
        <v>96</v>
      </c>
      <c r="F54" s="13">
        <f t="shared" si="62"/>
        <v>44986</v>
      </c>
      <c r="G54" s="13">
        <f t="shared" ref="G54:G55" si="64">WORKDAY(F54,0)</f>
        <v>44986</v>
      </c>
      <c r="H54" s="13"/>
      <c r="I54" s="13"/>
      <c r="K54" s="5" t="str">
        <f t="shared" si="3"/>
        <v>#REF!</v>
      </c>
      <c r="L54" s="14">
        <v>1.0</v>
      </c>
      <c r="M54" s="14">
        <f t="shared" ref="M54:N54" si="63">IFS(L54=1,1,F54=TODAY(),0,(AND(F54=G54,F54=TODAY())),(NOW()-TODAY()),(TODAY()-F54)/N54&gt;=1,1,(TODAY()-F54)/N54&lt;0,0,AND((TODAY()-F54)/N54&lt;1,(TODAY()-F54)/N54&gt;0),(TODAY()-F54)/N54)</f>
        <v>1</v>
      </c>
      <c r="N54" s="5">
        <f t="shared" si="63"/>
        <v>1</v>
      </c>
    </row>
    <row r="55" ht="15.75" customHeight="1" outlineLevel="3">
      <c r="A55" s="12" t="s">
        <v>103</v>
      </c>
      <c r="B55" s="5" t="s">
        <v>65</v>
      </c>
      <c r="C55" s="5" t="s">
        <v>127</v>
      </c>
      <c r="D55" s="5"/>
      <c r="E55" s="5" t="s">
        <v>96</v>
      </c>
      <c r="F55" s="13">
        <f t="shared" si="62"/>
        <v>44987</v>
      </c>
      <c r="G55" s="13">
        <f t="shared" si="64"/>
        <v>44987</v>
      </c>
      <c r="H55" s="5"/>
      <c r="I55" s="13"/>
      <c r="J55" s="5"/>
      <c r="K55" s="28" t="str">
        <f t="shared" si="3"/>
        <v>#REF!</v>
      </c>
      <c r="L55" s="14">
        <v>0.0</v>
      </c>
      <c r="M55" s="14" t="str">
        <f t="shared" ref="M55:N55" si="65">IFS(L55=1,1,F55=TODAY(),0,(AND(F55=G55,F55=TODAY())),(NOW()-TODAY()),(TODAY()-F55)/N55&gt;=1,1,(TODAY()-F55)/N55&lt;0,0,AND((TODAY()-F55)/N55&lt;1,(TODAY()-F55)/N55&gt;0),(TODAY()-F55)/N55)</f>
        <v>#REF!</v>
      </c>
      <c r="N55" s="29" t="str">
        <f t="shared" si="65"/>
        <v>#REF!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 outlineLevel="3">
      <c r="A56" s="12" t="s">
        <v>103</v>
      </c>
      <c r="B56" s="5" t="s">
        <v>107</v>
      </c>
      <c r="C56" s="5" t="s">
        <v>127</v>
      </c>
      <c r="D56" s="5"/>
      <c r="E56" s="5" t="s">
        <v>96</v>
      </c>
      <c r="F56" s="13">
        <f t="shared" si="62"/>
        <v>44988</v>
      </c>
      <c r="G56" s="13">
        <f t="shared" ref="G56:G66" si="67">WORKDAY(F56,1)</f>
        <v>44991</v>
      </c>
      <c r="I56" s="13"/>
      <c r="K56" s="5" t="str">
        <f t="shared" si="3"/>
        <v>#REF!</v>
      </c>
      <c r="L56" s="14">
        <v>0.0</v>
      </c>
      <c r="M56" s="14" t="str">
        <f t="shared" ref="M56:N56" si="66">IFS(L56=1,1,F56=TODAY(),0,(AND(F56=G56,F56=TODAY())),(NOW()-TODAY()),(TODAY()-F56)/N56&gt;=1,1,(TODAY()-F56)/N56&lt;0,0,AND((TODAY()-F56)/N56&lt;1,(TODAY()-F56)/N56&gt;0),(TODAY()-F56)/N56)</f>
        <v>#REF!</v>
      </c>
      <c r="N56" s="5" t="str">
        <f t="shared" si="66"/>
        <v>#REF!</v>
      </c>
    </row>
    <row r="57" ht="15.75" customHeight="1" outlineLevel="3">
      <c r="A57" s="12" t="s">
        <v>103</v>
      </c>
      <c r="B57" s="5" t="s">
        <v>65</v>
      </c>
      <c r="C57" s="5" t="s">
        <v>128</v>
      </c>
      <c r="D57" s="5"/>
      <c r="E57" s="5" t="s">
        <v>96</v>
      </c>
      <c r="F57" s="13">
        <f>WORKDAY(G55,1)</f>
        <v>44988</v>
      </c>
      <c r="G57" s="13">
        <f t="shared" si="67"/>
        <v>44991</v>
      </c>
      <c r="H57" s="5"/>
      <c r="I57" s="13"/>
      <c r="J57" s="5"/>
      <c r="K57" s="28" t="str">
        <f t="shared" si="3"/>
        <v>#REF!</v>
      </c>
      <c r="L57" s="14">
        <v>0.0</v>
      </c>
      <c r="M57" s="14" t="str">
        <f t="shared" ref="M57:N57" si="68">IFS(L57=1,1,F57=TODAY(),0,(AND(F57=G57,F57=TODAY())),(NOW()-TODAY()),(TODAY()-F57)/N57&gt;=1,1,(TODAY()-F57)/N57&lt;0,0,AND((TODAY()-F57)/N57&lt;1,(TODAY()-F57)/N57&gt;0),(TODAY()-F57)/N57)</f>
        <v>#REF!</v>
      </c>
      <c r="N57" s="29" t="str">
        <f t="shared" si="68"/>
        <v>#REF!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 outlineLevel="3">
      <c r="A58" s="12" t="s">
        <v>103</v>
      </c>
      <c r="B58" s="5" t="s">
        <v>107</v>
      </c>
      <c r="C58" s="5" t="s">
        <v>128</v>
      </c>
      <c r="D58" s="5"/>
      <c r="E58" s="5" t="s">
        <v>96</v>
      </c>
      <c r="F58" s="13">
        <f>WORKDAY(G57,1)</f>
        <v>44992</v>
      </c>
      <c r="G58" s="13">
        <f t="shared" si="67"/>
        <v>44993</v>
      </c>
      <c r="I58" s="13"/>
      <c r="K58" s="5" t="str">
        <f t="shared" si="3"/>
        <v>#REF!</v>
      </c>
      <c r="L58" s="14">
        <v>0.0</v>
      </c>
      <c r="M58" s="14" t="str">
        <f t="shared" ref="M58:N58" si="69">IFS(L58=1,1,F58=TODAY(),0,(AND(F58=G58,F58=TODAY())),(NOW()-TODAY()),(TODAY()-F58)/N58&gt;=1,1,(TODAY()-F58)/N58&lt;0,0,AND((TODAY()-F58)/N58&lt;1,(TODAY()-F58)/N58&gt;0),(TODAY()-F58)/N58)</f>
        <v>#REF!</v>
      </c>
      <c r="N58" s="5" t="str">
        <f t="shared" si="69"/>
        <v>#REF!</v>
      </c>
    </row>
    <row r="59" ht="15.75" customHeight="1" outlineLevel="3">
      <c r="A59" s="12" t="s">
        <v>103</v>
      </c>
      <c r="B59" s="5" t="s">
        <v>65</v>
      </c>
      <c r="C59" s="5" t="s">
        <v>129</v>
      </c>
      <c r="D59" s="5"/>
      <c r="E59" s="5" t="s">
        <v>96</v>
      </c>
      <c r="F59" s="13">
        <f>WORKDAY(G57,1)</f>
        <v>44992</v>
      </c>
      <c r="G59" s="13">
        <f t="shared" si="67"/>
        <v>44993</v>
      </c>
      <c r="I59" s="13"/>
      <c r="K59" s="5" t="str">
        <f t="shared" si="3"/>
        <v>#REF!</v>
      </c>
      <c r="L59" s="14">
        <v>0.0</v>
      </c>
      <c r="M59" s="14" t="str">
        <f t="shared" ref="M59:N59" si="70">IFS(L59=1,1,F59=TODAY(),0,(AND(F59=G59,F59=TODAY())),(NOW()-TODAY()),(TODAY()-F59)/N59&gt;=1,1,(TODAY()-F59)/N59&lt;0,0,AND((TODAY()-F59)/N59&lt;1,(TODAY()-F59)/N59&gt;0),(TODAY()-F59)/N59)</f>
        <v>#REF!</v>
      </c>
      <c r="N59" s="5" t="str">
        <f t="shared" si="70"/>
        <v>#REF!</v>
      </c>
    </row>
    <row r="60" ht="15.75" customHeight="1" outlineLevel="3">
      <c r="A60" s="12" t="s">
        <v>103</v>
      </c>
      <c r="B60" s="5" t="s">
        <v>107</v>
      </c>
      <c r="C60" s="5" t="s">
        <v>129</v>
      </c>
      <c r="D60" s="5"/>
      <c r="E60" s="5" t="s">
        <v>96</v>
      </c>
      <c r="F60" s="13">
        <f>WORKDAY(G59,1)</f>
        <v>44994</v>
      </c>
      <c r="G60" s="13">
        <f t="shared" si="67"/>
        <v>44995</v>
      </c>
      <c r="I60" s="13"/>
      <c r="K60" s="5" t="str">
        <f t="shared" si="3"/>
        <v>#REF!</v>
      </c>
      <c r="L60" s="14">
        <v>0.0</v>
      </c>
      <c r="M60" s="14" t="str">
        <f t="shared" ref="M60:N60" si="71">IFS(L60=1,1,F60=TODAY(),0,(AND(F60=G60,F60=TODAY())),(NOW()-TODAY()),(TODAY()-F60)/N60&gt;=1,1,(TODAY()-F60)/N60&lt;0,0,AND((TODAY()-F60)/N60&lt;1,(TODAY()-F60)/N60&gt;0),(TODAY()-F60)/N60)</f>
        <v>#REF!</v>
      </c>
      <c r="N60" s="5" t="str">
        <f t="shared" si="71"/>
        <v>#REF!</v>
      </c>
    </row>
    <row r="61" ht="15.75" customHeight="1" outlineLevel="3">
      <c r="A61" s="12" t="s">
        <v>103</v>
      </c>
      <c r="B61" s="5" t="s">
        <v>65</v>
      </c>
      <c r="C61" s="5" t="s">
        <v>130</v>
      </c>
      <c r="D61" s="5"/>
      <c r="E61" s="5" t="s">
        <v>96</v>
      </c>
      <c r="F61" s="13">
        <f>WORKDAY(G59,1)</f>
        <v>44994</v>
      </c>
      <c r="G61" s="13">
        <f t="shared" si="67"/>
        <v>44995</v>
      </c>
      <c r="H61" s="5"/>
      <c r="I61" s="13"/>
      <c r="J61" s="5"/>
      <c r="K61" s="28" t="str">
        <f t="shared" si="3"/>
        <v>#REF!</v>
      </c>
      <c r="L61" s="14">
        <v>0.0</v>
      </c>
      <c r="M61" s="14" t="str">
        <f t="shared" ref="M61:N61" si="72">IFS(L61=1,1,F61=TODAY(),0,(AND(F61=G61,F61=TODAY())),(NOW()-TODAY()),(TODAY()-F61)/N61&gt;=1,1,(TODAY()-F61)/N61&lt;0,0,AND((TODAY()-F61)/N61&lt;1,(TODAY()-F61)/N61&gt;0),(TODAY()-F61)/N61)</f>
        <v>#REF!</v>
      </c>
      <c r="N61" s="29" t="str">
        <f t="shared" si="72"/>
        <v>#REF!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 outlineLevel="3">
      <c r="A62" s="12" t="s">
        <v>103</v>
      </c>
      <c r="B62" s="5" t="s">
        <v>107</v>
      </c>
      <c r="C62" s="5" t="s">
        <v>130</v>
      </c>
      <c r="D62" s="5"/>
      <c r="E62" s="5" t="s">
        <v>96</v>
      </c>
      <c r="F62" s="13">
        <f>WORKDAY(G61,1)</f>
        <v>44998</v>
      </c>
      <c r="G62" s="13">
        <f t="shared" si="67"/>
        <v>44999</v>
      </c>
      <c r="I62" s="13"/>
      <c r="K62" s="5" t="str">
        <f t="shared" si="3"/>
        <v>#REF!</v>
      </c>
      <c r="L62" s="14">
        <v>0.0</v>
      </c>
      <c r="M62" s="14" t="str">
        <f t="shared" ref="M62:N62" si="73">IFS(L62=1,1,F62=TODAY(),0,(AND(F62=G62,F62=TODAY())),(NOW()-TODAY()),(TODAY()-F62)/N62&gt;=1,1,(TODAY()-F62)/N62&lt;0,0,AND((TODAY()-F62)/N62&lt;1,(TODAY()-F62)/N62&gt;0),(TODAY()-F62)/N62)</f>
        <v>#REF!</v>
      </c>
      <c r="N62" s="5" t="str">
        <f t="shared" si="73"/>
        <v>#REF!</v>
      </c>
    </row>
    <row r="63" ht="15.75" customHeight="1" outlineLevel="3">
      <c r="A63" s="12" t="s">
        <v>103</v>
      </c>
      <c r="B63" s="5" t="s">
        <v>65</v>
      </c>
      <c r="C63" s="5" t="s">
        <v>131</v>
      </c>
      <c r="D63" s="5"/>
      <c r="E63" s="5" t="s">
        <v>96</v>
      </c>
      <c r="F63" s="13">
        <f>WORKDAY(G61,1)</f>
        <v>44998</v>
      </c>
      <c r="G63" s="13">
        <f t="shared" si="67"/>
        <v>44999</v>
      </c>
      <c r="H63" s="5"/>
      <c r="I63" s="13"/>
      <c r="J63" s="5"/>
      <c r="K63" s="28" t="str">
        <f t="shared" si="3"/>
        <v>#REF!</v>
      </c>
      <c r="L63" s="14">
        <v>0.0</v>
      </c>
      <c r="M63" s="14" t="str">
        <f t="shared" ref="M63:N63" si="74">IFS(L63=1,1,F63=TODAY(),0,(AND(F63=G63,F63=TODAY())),(NOW()-TODAY()),(TODAY()-F63)/N63&gt;=1,1,(TODAY()-F63)/N63&lt;0,0,AND((TODAY()-F63)/N63&lt;1,(TODAY()-F63)/N63&gt;0),(TODAY()-F63)/N63)</f>
        <v>#REF!</v>
      </c>
      <c r="N63" s="29" t="str">
        <f t="shared" si="74"/>
        <v>#REF!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 outlineLevel="3">
      <c r="A64" s="12" t="s">
        <v>103</v>
      </c>
      <c r="B64" s="5" t="s">
        <v>107</v>
      </c>
      <c r="C64" s="5" t="s">
        <v>131</v>
      </c>
      <c r="D64" s="5"/>
      <c r="E64" s="5" t="s">
        <v>96</v>
      </c>
      <c r="F64" s="13">
        <f>WORKDAY(G63,1)</f>
        <v>45000</v>
      </c>
      <c r="G64" s="13">
        <f t="shared" si="67"/>
        <v>45001</v>
      </c>
      <c r="I64" s="13"/>
      <c r="K64" s="5" t="str">
        <f t="shared" si="3"/>
        <v>#REF!</v>
      </c>
      <c r="L64" s="14">
        <v>0.0</v>
      </c>
      <c r="M64" s="14" t="str">
        <f t="shared" ref="M64:N64" si="75">IFS(L64=1,1,F64=TODAY(),0,(AND(F64=G64,F64=TODAY())),(NOW()-TODAY()),(TODAY()-F64)/N64&gt;=1,1,(TODAY()-F64)/N64&lt;0,0,AND((TODAY()-F64)/N64&lt;1,(TODAY()-F64)/N64&gt;0),(TODAY()-F64)/N64)</f>
        <v>#REF!</v>
      </c>
      <c r="N64" s="5" t="str">
        <f t="shared" si="75"/>
        <v>#REF!</v>
      </c>
    </row>
    <row r="65" ht="15.75" customHeight="1" outlineLevel="3">
      <c r="A65" s="12" t="s">
        <v>103</v>
      </c>
      <c r="B65" s="5" t="s">
        <v>132</v>
      </c>
      <c r="C65" s="5" t="s">
        <v>133</v>
      </c>
      <c r="D65" s="5"/>
      <c r="E65" s="5" t="s">
        <v>96</v>
      </c>
      <c r="F65" s="13">
        <f>WORKDAY(G63,1)</f>
        <v>45000</v>
      </c>
      <c r="G65" s="13">
        <f t="shared" si="67"/>
        <v>45001</v>
      </c>
      <c r="I65" s="13"/>
      <c r="K65" s="5" t="str">
        <f t="shared" si="3"/>
        <v>#REF!</v>
      </c>
      <c r="L65" s="14">
        <v>0.0</v>
      </c>
      <c r="M65" s="14" t="str">
        <f t="shared" ref="M65:N65" si="76">IFS(L65=1,1,F65=TODAY(),0,(AND(F65=G65,F65=TODAY())),(NOW()-TODAY()),(TODAY()-F65)/N65&gt;=1,1,(TODAY()-F65)/N65&lt;0,0,AND((TODAY()-F65)/N65&lt;1,(TODAY()-F65)/N65&gt;0),(TODAY()-F65)/N65)</f>
        <v>#REF!</v>
      </c>
      <c r="N65" s="5" t="str">
        <f t="shared" si="76"/>
        <v>#REF!</v>
      </c>
    </row>
    <row r="66" ht="15.75" customHeight="1" outlineLevel="3">
      <c r="A66" s="12" t="s">
        <v>103</v>
      </c>
      <c r="B66" s="5" t="s">
        <v>107</v>
      </c>
      <c r="C66" s="5" t="s">
        <v>133</v>
      </c>
      <c r="D66" s="5"/>
      <c r="E66" s="5" t="s">
        <v>96</v>
      </c>
      <c r="F66" s="13">
        <f>WORKDAY(G65,1)</f>
        <v>45002</v>
      </c>
      <c r="G66" s="13">
        <f t="shared" si="67"/>
        <v>45005</v>
      </c>
      <c r="I66" s="13"/>
      <c r="K66" s="5" t="str">
        <f t="shared" si="3"/>
        <v>#REF!</v>
      </c>
      <c r="L66" s="14">
        <v>0.0</v>
      </c>
      <c r="M66" s="14" t="str">
        <f t="shared" ref="M66:N66" si="77">IFS(L66=1,1,F66=TODAY(),0,(AND(F66=G66,F66=TODAY())),(NOW()-TODAY()),(TODAY()-F66)/N66&gt;=1,1,(TODAY()-F66)/N66&lt;0,0,AND((TODAY()-F66)/N66&lt;1,(TODAY()-F66)/N66&gt;0),(TODAY()-F66)/N66)</f>
        <v>#REF!</v>
      </c>
      <c r="N66" s="5" t="str">
        <f t="shared" si="77"/>
        <v>#REF!</v>
      </c>
    </row>
    <row r="67" ht="15.75" customHeight="1" outlineLevel="2">
      <c r="A67" s="23" t="s">
        <v>134</v>
      </c>
      <c r="B67" s="24" t="s">
        <v>135</v>
      </c>
      <c r="D67" s="5"/>
      <c r="E67" s="24"/>
      <c r="F67" s="25">
        <f>MIN(F68:F72)</f>
        <v>44970</v>
      </c>
      <c r="G67" s="25">
        <f>MAX(G68:G72)</f>
        <v>44993</v>
      </c>
      <c r="H67" s="25"/>
      <c r="I67" s="25"/>
      <c r="J67" s="24"/>
      <c r="K67" s="24" t="str">
        <f t="shared" si="3"/>
        <v>#REF!</v>
      </c>
      <c r="L67" s="26">
        <f t="shared" ref="L67:M67" si="78">AVERAGE(L68:L72)</f>
        <v>0</v>
      </c>
      <c r="M67" s="26" t="str">
        <f t="shared" si="78"/>
        <v>#REF!</v>
      </c>
      <c r="N67" s="24" t="str">
        <f>IFS(M67=1,1,G67=TODAY(),0,(AND(G67=H67,G67=TODAY())),(NOW()-TODAY()),(TODAY()-G67)/O67&gt;=1,1,(TODAY()-G67)/O67&lt;0,0,AND((TODAY()-G67)/O67&lt;1,(TODAY()-G67)/O67&gt;0),(TODAY()-G67)/O67)</f>
        <v>#REF!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ht="15.75" customHeight="1" outlineLevel="3">
      <c r="A68" s="12" t="s">
        <v>136</v>
      </c>
      <c r="B68" s="5" t="s">
        <v>94</v>
      </c>
      <c r="C68" s="5" t="s">
        <v>137</v>
      </c>
      <c r="D68" s="5"/>
      <c r="E68" s="5" t="s">
        <v>138</v>
      </c>
      <c r="F68" s="13">
        <v>44970.0</v>
      </c>
      <c r="G68" s="13">
        <f t="shared" ref="G68:G71" si="80">WORKDAY(F68,3)</f>
        <v>44973</v>
      </c>
      <c r="H68" s="13"/>
      <c r="I68" s="13"/>
      <c r="K68" s="5" t="str">
        <f t="shared" si="3"/>
        <v>#REF!</v>
      </c>
      <c r="L68" s="14">
        <v>0.0</v>
      </c>
      <c r="M68" s="14" t="str">
        <f t="shared" ref="M68:N68" si="79">IFS(L68=1,1,F68=TODAY(),0,(AND(F68=G68,F68=TODAY())),(NOW()-TODAY()),(TODAY()-F68)/N68&gt;=1,1,(TODAY()-F68)/N68&lt;0,0,AND((TODAY()-F68)/N68&lt;1,(TODAY()-F68)/N68&gt;0),(TODAY()-F68)/N68)</f>
        <v>#REF!</v>
      </c>
      <c r="N68" s="5" t="str">
        <f t="shared" si="79"/>
        <v>#REF!</v>
      </c>
    </row>
    <row r="69" ht="15.75" customHeight="1" outlineLevel="3">
      <c r="A69" s="12" t="s">
        <v>139</v>
      </c>
      <c r="B69" s="5" t="s">
        <v>94</v>
      </c>
      <c r="C69" s="5" t="s">
        <v>140</v>
      </c>
      <c r="D69" s="5"/>
      <c r="E69" s="5" t="s">
        <v>138</v>
      </c>
      <c r="F69" s="13">
        <f t="shared" ref="F69:F72" si="82">WORKDAY(G68,1)</f>
        <v>44974</v>
      </c>
      <c r="G69" s="13">
        <f t="shared" si="80"/>
        <v>44979</v>
      </c>
      <c r="H69" s="13"/>
      <c r="I69" s="13"/>
      <c r="K69" s="5" t="str">
        <f t="shared" si="3"/>
        <v>#REF!</v>
      </c>
      <c r="L69" s="14">
        <v>0.0</v>
      </c>
      <c r="M69" s="14" t="str">
        <f t="shared" ref="M69:N69" si="81">IFS(L69=1,1,F69=TODAY(),0,(AND(F69=G69,F69=TODAY())),(NOW()-TODAY()),(TODAY()-F69)/N69&gt;=1,1,(TODAY()-F69)/N69&lt;0,0,AND((TODAY()-F69)/N69&lt;1,(TODAY()-F69)/N69&gt;0),(TODAY()-F69)/N69)</f>
        <v>#REF!</v>
      </c>
      <c r="N69" s="5" t="str">
        <f t="shared" si="81"/>
        <v>#REF!</v>
      </c>
    </row>
    <row r="70" ht="15.75" customHeight="1" outlineLevel="3">
      <c r="A70" s="12" t="s">
        <v>141</v>
      </c>
      <c r="B70" s="5" t="s">
        <v>94</v>
      </c>
      <c r="C70" s="5" t="s">
        <v>142</v>
      </c>
      <c r="D70" s="5"/>
      <c r="E70" s="5" t="s">
        <v>138</v>
      </c>
      <c r="F70" s="13">
        <f t="shared" si="82"/>
        <v>44980</v>
      </c>
      <c r="G70" s="13">
        <f t="shared" si="80"/>
        <v>44985</v>
      </c>
      <c r="H70" s="13"/>
      <c r="I70" s="13"/>
      <c r="K70" s="5" t="str">
        <f t="shared" si="3"/>
        <v>#REF!</v>
      </c>
      <c r="L70" s="14">
        <v>0.0</v>
      </c>
      <c r="M70" s="14" t="str">
        <f t="shared" ref="M70:N70" si="83">IFS(L70=1,1,F70=TODAY(),0,(AND(F70=G70,F70=TODAY())),(NOW()-TODAY()),(TODAY()-F70)/N70&gt;=1,1,(TODAY()-F70)/N70&lt;0,0,AND((TODAY()-F70)/N70&lt;1,(TODAY()-F70)/N70&gt;0),(TODAY()-F70)/N70)</f>
        <v>#REF!</v>
      </c>
      <c r="N70" s="5" t="str">
        <f t="shared" si="83"/>
        <v>#REF!</v>
      </c>
    </row>
    <row r="71" ht="15.75" customHeight="1" outlineLevel="3">
      <c r="A71" s="12" t="s">
        <v>143</v>
      </c>
      <c r="B71" s="5" t="s">
        <v>65</v>
      </c>
      <c r="C71" s="5" t="s">
        <v>144</v>
      </c>
      <c r="D71" s="5"/>
      <c r="E71" s="5" t="s">
        <v>138</v>
      </c>
      <c r="F71" s="13">
        <f t="shared" si="82"/>
        <v>44986</v>
      </c>
      <c r="G71" s="13">
        <f t="shared" si="80"/>
        <v>44991</v>
      </c>
      <c r="H71" s="13"/>
      <c r="I71" s="13"/>
      <c r="K71" s="5" t="str">
        <f t="shared" si="3"/>
        <v>#REF!</v>
      </c>
      <c r="L71" s="14">
        <v>0.0</v>
      </c>
      <c r="M71" s="14" t="str">
        <f t="shared" ref="M71:N71" si="84">IFS(L71=1,1,F71=TODAY(),0,(AND(F71=G71,F71=TODAY())),(NOW()-TODAY()),(TODAY()-F71)/N71&gt;=1,1,(TODAY()-F71)/N71&lt;0,0,AND((TODAY()-F71)/N71&lt;1,(TODAY()-F71)/N71&gt;0),(TODAY()-F71)/N71)</f>
        <v>#REF!</v>
      </c>
      <c r="N71" s="5" t="str">
        <f t="shared" si="84"/>
        <v>#REF!</v>
      </c>
    </row>
    <row r="72" ht="15.75" customHeight="1" outlineLevel="3">
      <c r="A72" s="12" t="s">
        <v>145</v>
      </c>
      <c r="B72" s="5" t="s">
        <v>107</v>
      </c>
      <c r="C72" s="5" t="s">
        <v>144</v>
      </c>
      <c r="D72" s="5"/>
      <c r="E72" s="5" t="s">
        <v>138</v>
      </c>
      <c r="F72" s="13">
        <f t="shared" si="82"/>
        <v>44992</v>
      </c>
      <c r="G72" s="13">
        <f>WORKDAY(F72,1)</f>
        <v>44993</v>
      </c>
      <c r="H72" s="13"/>
      <c r="I72" s="13"/>
      <c r="K72" s="5" t="str">
        <f t="shared" si="3"/>
        <v>#REF!</v>
      </c>
      <c r="L72" s="14">
        <v>0.0</v>
      </c>
      <c r="M72" s="14" t="str">
        <f t="shared" ref="M72:N72" si="85">IFS(L72=1,1,F72=TODAY(),0,(AND(F72=G72,F72=TODAY())),(NOW()-TODAY()),(TODAY()-F72)/N72&gt;=1,1,(TODAY()-F72)/N72&lt;0,0,AND((TODAY()-F72)/N72&lt;1,(TODAY()-F72)/N72&gt;0),(TODAY()-F72)/N72)</f>
        <v>#REF!</v>
      </c>
      <c r="N72" s="5" t="str">
        <f t="shared" si="85"/>
        <v>#REF!</v>
      </c>
    </row>
    <row r="73" ht="15.75" customHeight="1" outlineLevel="2">
      <c r="A73" s="23" t="s">
        <v>146</v>
      </c>
      <c r="B73" s="24" t="s">
        <v>147</v>
      </c>
      <c r="D73" s="5"/>
      <c r="E73" s="24"/>
      <c r="F73" s="25">
        <f>MIN(F74:F79)</f>
        <v>44992</v>
      </c>
      <c r="G73" s="25">
        <f>MAX(G74:G79)</f>
        <v>44998</v>
      </c>
      <c r="H73" s="25"/>
      <c r="I73" s="25"/>
      <c r="J73" s="24"/>
      <c r="K73" s="24" t="str">
        <f t="shared" si="3"/>
        <v>#REF!</v>
      </c>
      <c r="L73" s="26">
        <f t="shared" ref="L73:M73" si="86">AVERAGE(L74:L79)</f>
        <v>0</v>
      </c>
      <c r="M73" s="26" t="str">
        <f t="shared" si="86"/>
        <v>#REF!</v>
      </c>
      <c r="N73" s="24" t="str">
        <f>IFS(M73=1,1,G73=TODAY(),0,(AND(G73=H73,G73=TODAY())),(NOW()-TODAY()),(TODAY()-G73)/O73&gt;=1,1,(TODAY()-G73)/O73&lt;0,0,AND((TODAY()-G73)/O73&lt;1,(TODAY()-G73)/O73&gt;0),(TODAY()-G73)/O73)</f>
        <v>#REF!</v>
      </c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ht="15.75" customHeight="1" outlineLevel="3">
      <c r="A74" s="12" t="s">
        <v>148</v>
      </c>
      <c r="B74" s="5" t="s">
        <v>147</v>
      </c>
      <c r="C74" s="5" t="s">
        <v>149</v>
      </c>
      <c r="D74" s="5"/>
      <c r="E74" s="5" t="s">
        <v>96</v>
      </c>
      <c r="F74" s="13">
        <f>WORKDAY(G51,1)</f>
        <v>44993</v>
      </c>
      <c r="G74" s="13">
        <f t="shared" ref="G74:G76" si="88">WORKDAY(F74,1)</f>
        <v>44994</v>
      </c>
      <c r="H74" s="13"/>
      <c r="I74" s="13"/>
      <c r="K74" s="5" t="str">
        <f t="shared" si="3"/>
        <v>#REF!</v>
      </c>
      <c r="L74" s="14">
        <v>0.0</v>
      </c>
      <c r="M74" s="14" t="str">
        <f t="shared" ref="M74:N74" si="87">IFS(L74=1,1,F74=TODAY(),0,(AND(F74=G74,F74=TODAY())),(NOW()-TODAY()),(TODAY()-F74)/N74&gt;=1,1,(TODAY()-F74)/N74&lt;0,0,AND((TODAY()-F74)/N74&lt;1,(TODAY()-F74)/N74&gt;0),(TODAY()-F74)/N74)</f>
        <v>#REF!</v>
      </c>
      <c r="N74" s="5" t="str">
        <f t="shared" si="87"/>
        <v>#REF!</v>
      </c>
    </row>
    <row r="75" ht="15.75" customHeight="1" outlineLevel="3">
      <c r="A75" s="12" t="s">
        <v>150</v>
      </c>
      <c r="B75" s="5" t="s">
        <v>147</v>
      </c>
      <c r="C75" s="5" t="s">
        <v>151</v>
      </c>
      <c r="D75" s="5"/>
      <c r="E75" s="5" t="s">
        <v>96</v>
      </c>
      <c r="F75" s="13">
        <f>WORKDAY(G74,1)</f>
        <v>44995</v>
      </c>
      <c r="G75" s="13">
        <f t="shared" si="88"/>
        <v>44998</v>
      </c>
      <c r="H75" s="13"/>
      <c r="I75" s="13"/>
      <c r="K75" s="5" t="str">
        <f t="shared" si="3"/>
        <v>#REF!</v>
      </c>
      <c r="L75" s="14">
        <v>0.0</v>
      </c>
      <c r="M75" s="14" t="str">
        <f t="shared" ref="M75:N75" si="89">IFS(L75=1,1,F75=TODAY(),0,(AND(F75=G75,F75=TODAY())),(NOW()-TODAY()),(TODAY()-F75)/N75&gt;=1,1,(TODAY()-F75)/N75&lt;0,0,AND((TODAY()-F75)/N75&lt;1,(TODAY()-F75)/N75&gt;0),(TODAY()-F75)/N75)</f>
        <v>#REF!</v>
      </c>
      <c r="N75" s="5" t="str">
        <f t="shared" si="89"/>
        <v>#REF!</v>
      </c>
    </row>
    <row r="76" ht="15.75" customHeight="1" outlineLevel="3">
      <c r="A76" s="12" t="s">
        <v>152</v>
      </c>
      <c r="B76" s="5" t="s">
        <v>147</v>
      </c>
      <c r="C76" s="5" t="s">
        <v>153</v>
      </c>
      <c r="D76" s="5"/>
      <c r="E76" s="5" t="s">
        <v>96</v>
      </c>
      <c r="F76" s="13">
        <f>WORKDAY(G43,1)</f>
        <v>44992</v>
      </c>
      <c r="G76" s="13">
        <f t="shared" si="88"/>
        <v>44993</v>
      </c>
      <c r="H76" s="13"/>
      <c r="I76" s="13"/>
      <c r="K76" s="5" t="str">
        <f t="shared" si="3"/>
        <v>#REF!</v>
      </c>
      <c r="L76" s="14">
        <v>0.0</v>
      </c>
      <c r="M76" s="14" t="str">
        <f t="shared" ref="M76:N76" si="90">IFS(L76=1,1,F76=TODAY(),0,(AND(F76=G76,F76=TODAY())),(NOW()-TODAY()),(TODAY()-F76)/N76&gt;=1,1,(TODAY()-F76)/N76&lt;0,0,AND((TODAY()-F76)/N76&lt;1,(TODAY()-F76)/N76&gt;0),(TODAY()-F76)/N76)</f>
        <v>#REF!</v>
      </c>
      <c r="N76" s="5" t="str">
        <f t="shared" si="90"/>
        <v>#REF!</v>
      </c>
    </row>
    <row r="77" ht="15.75" customHeight="1" outlineLevel="3">
      <c r="A77" s="12" t="s">
        <v>148</v>
      </c>
      <c r="B77" s="5" t="s">
        <v>147</v>
      </c>
      <c r="C77" s="5" t="s">
        <v>153</v>
      </c>
      <c r="D77" s="5"/>
      <c r="E77" s="5" t="s">
        <v>138</v>
      </c>
      <c r="F77" s="13">
        <f t="shared" ref="F77:G77" si="91">F74</f>
        <v>44993</v>
      </c>
      <c r="G77" s="13">
        <f t="shared" si="91"/>
        <v>44994</v>
      </c>
      <c r="H77" s="13"/>
      <c r="I77" s="13"/>
      <c r="K77" s="5" t="str">
        <f t="shared" si="3"/>
        <v>#REF!</v>
      </c>
      <c r="L77" s="14">
        <v>0.0</v>
      </c>
      <c r="M77" s="14" t="str">
        <f t="shared" ref="M77:N77" si="92">IFS(L77=1,1,F77=TODAY(),0,(AND(F77=G77,F77=TODAY())),(NOW()-TODAY()),(TODAY()-F77)/N77&gt;=1,1,(TODAY()-F77)/N77&lt;0,0,AND((TODAY()-F77)/N77&lt;1,(TODAY()-F77)/N77&gt;0),(TODAY()-F77)/N77)</f>
        <v>#REF!</v>
      </c>
      <c r="N77" s="5" t="str">
        <f t="shared" si="92"/>
        <v>#REF!</v>
      </c>
    </row>
    <row r="78" ht="15.75" customHeight="1" outlineLevel="3">
      <c r="A78" s="12" t="s">
        <v>150</v>
      </c>
      <c r="B78" s="5" t="s">
        <v>147</v>
      </c>
      <c r="C78" s="5" t="s">
        <v>149</v>
      </c>
      <c r="D78" s="5"/>
      <c r="E78" s="5" t="s">
        <v>138</v>
      </c>
      <c r="F78" s="13">
        <f t="shared" ref="F78:G78" si="93">F75</f>
        <v>44995</v>
      </c>
      <c r="G78" s="13">
        <f t="shared" si="93"/>
        <v>44998</v>
      </c>
      <c r="H78" s="13"/>
      <c r="I78" s="13"/>
      <c r="K78" s="5" t="str">
        <f t="shared" si="3"/>
        <v>#REF!</v>
      </c>
      <c r="L78" s="14">
        <v>0.0</v>
      </c>
      <c r="M78" s="14" t="str">
        <f t="shared" ref="M78:N78" si="94">IFS(L78=1,1,F78=TODAY(),0,(AND(F78=G78,F78=TODAY())),(NOW()-TODAY()),(TODAY()-F78)/N78&gt;=1,1,(TODAY()-F78)/N78&lt;0,0,AND((TODAY()-F78)/N78&lt;1,(TODAY()-F78)/N78&gt;0),(TODAY()-F78)/N78)</f>
        <v>#REF!</v>
      </c>
      <c r="N78" s="5" t="str">
        <f t="shared" si="94"/>
        <v>#REF!</v>
      </c>
    </row>
    <row r="79" ht="15.75" customHeight="1" outlineLevel="3">
      <c r="A79" s="12" t="s">
        <v>152</v>
      </c>
      <c r="B79" s="5" t="s">
        <v>147</v>
      </c>
      <c r="C79" s="5" t="s">
        <v>151</v>
      </c>
      <c r="D79" s="5"/>
      <c r="E79" s="5" t="s">
        <v>138</v>
      </c>
      <c r="F79" s="13">
        <f t="shared" ref="F79:G79" si="95">F76</f>
        <v>44992</v>
      </c>
      <c r="G79" s="13">
        <f t="shared" si="95"/>
        <v>44993</v>
      </c>
      <c r="H79" s="13"/>
      <c r="I79" s="13"/>
      <c r="K79" s="5" t="str">
        <f t="shared" si="3"/>
        <v>#REF!</v>
      </c>
      <c r="L79" s="14">
        <v>0.0</v>
      </c>
      <c r="M79" s="14" t="str">
        <f t="shared" ref="M79:N79" si="96">IFS(L79=1,1,F79=TODAY(),0,(AND(F79=G79,F79=TODAY())),(NOW()-TODAY()),(TODAY()-F79)/N79&gt;=1,1,(TODAY()-F79)/N79&lt;0,0,AND((TODAY()-F79)/N79&lt;1,(TODAY()-F79)/N79&gt;0),(TODAY()-F79)/N79)</f>
        <v>#REF!</v>
      </c>
      <c r="N79" s="5" t="str">
        <f t="shared" si="96"/>
        <v>#REF!</v>
      </c>
    </row>
    <row r="80" ht="15.75" customHeight="1" outlineLevel="2">
      <c r="A80" s="23" t="s">
        <v>154</v>
      </c>
      <c r="B80" s="24" t="s">
        <v>155</v>
      </c>
      <c r="C80" s="24"/>
      <c r="D80" s="5"/>
      <c r="E80" s="24"/>
      <c r="F80" s="25">
        <f>MIN(F81:F86)</f>
        <v>44988</v>
      </c>
      <c r="G80" s="25">
        <f>MAX(G81:G86)</f>
        <v>44995</v>
      </c>
      <c r="H80" s="25"/>
      <c r="I80" s="25"/>
      <c r="J80" s="24"/>
      <c r="K80" s="24" t="str">
        <f t="shared" si="3"/>
        <v>#REF!</v>
      </c>
      <c r="L80" s="26">
        <f t="shared" ref="L80:M80" si="97">AVERAGE(L81:L86)</f>
        <v>0</v>
      </c>
      <c r="M80" s="26" t="str">
        <f t="shared" si="97"/>
        <v>#REF!</v>
      </c>
      <c r="N80" s="24" t="str">
        <f>IFS(M80=1,1,G80=TODAY(),0,(AND(G80=H80,G80=TODAY())),(NOW()-TODAY()),(TODAY()-G80)/O80&gt;=1,1,(TODAY()-G80)/O80&lt;0,0,AND((TODAY()-G80)/O80&lt;1,(TODAY()-G80)/O80&gt;0),(TODAY()-G80)/O80)</f>
        <v>#REF!</v>
      </c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ht="15.75" customHeight="1" outlineLevel="3">
      <c r="A81" s="12" t="s">
        <v>156</v>
      </c>
      <c r="B81" s="5" t="s">
        <v>153</v>
      </c>
      <c r="C81" s="5" t="s">
        <v>157</v>
      </c>
      <c r="D81" s="5" t="s">
        <v>83</v>
      </c>
      <c r="E81" s="5" t="s">
        <v>23</v>
      </c>
      <c r="F81" s="13">
        <f>WORKDAY(G42,1)</f>
        <v>44988</v>
      </c>
      <c r="G81" s="13">
        <f>F81</f>
        <v>44988</v>
      </c>
      <c r="H81" s="13"/>
      <c r="I81" s="13"/>
      <c r="J81" s="5" t="s">
        <v>158</v>
      </c>
      <c r="K81" s="5" t="str">
        <f t="shared" si="3"/>
        <v>#REF!</v>
      </c>
      <c r="L81" s="14">
        <v>0.0</v>
      </c>
      <c r="M81" s="14" t="str">
        <f t="shared" ref="M81:N81" si="98">IFS(L81=1,1,F81=TODAY(),0,(AND(F81=G81,F81=TODAY())),(NOW()-TODAY()),(TODAY()-F81)/N81&gt;=1,1,(TODAY()-F81)/N81&lt;0,0,AND((TODAY()-F81)/N81&lt;1,(TODAY()-F81)/N81&gt;0),(TODAY()-F81)/N81)</f>
        <v>#REF!</v>
      </c>
      <c r="N81" s="5" t="str">
        <f t="shared" si="98"/>
        <v>#REF!</v>
      </c>
    </row>
    <row r="82" ht="15.75" customHeight="1" outlineLevel="3">
      <c r="A82" s="12" t="s">
        <v>156</v>
      </c>
      <c r="B82" s="5" t="s">
        <v>153</v>
      </c>
      <c r="C82" s="5" t="s">
        <v>159</v>
      </c>
      <c r="D82" s="5"/>
      <c r="E82" s="5" t="s">
        <v>23</v>
      </c>
      <c r="F82" s="13">
        <f>WORKDAY(G81,1)</f>
        <v>44991</v>
      </c>
      <c r="G82" s="13">
        <f>WORKDAY(F82,4)</f>
        <v>44995</v>
      </c>
      <c r="H82" s="13"/>
      <c r="I82" s="13"/>
      <c r="K82" s="5" t="str">
        <f t="shared" si="3"/>
        <v>#REF!</v>
      </c>
      <c r="L82" s="14">
        <v>0.0</v>
      </c>
      <c r="M82" s="14" t="str">
        <f t="shared" ref="M82:N82" si="99">IFS(L82=1,1,F82=TODAY(),0,(AND(F82=G82,F82=TODAY())),(NOW()-TODAY()),(TODAY()-F82)/N82&gt;=1,1,(TODAY()-F82)/N82&lt;0,0,AND((TODAY()-F82)/N82&lt;1,(TODAY()-F82)/N82&gt;0),(TODAY()-F82)/N82)</f>
        <v>#REF!</v>
      </c>
      <c r="N82" s="5" t="str">
        <f t="shared" si="99"/>
        <v>#REF!</v>
      </c>
    </row>
    <row r="83" ht="15.75" customHeight="1" outlineLevel="3">
      <c r="A83" s="12" t="s">
        <v>160</v>
      </c>
      <c r="B83" s="5" t="s">
        <v>149</v>
      </c>
      <c r="C83" s="5" t="s">
        <v>157</v>
      </c>
      <c r="D83" s="5"/>
      <c r="E83" s="5" t="s">
        <v>23</v>
      </c>
      <c r="F83" s="13">
        <f>WORKDAY(G50,1)</f>
        <v>44988</v>
      </c>
      <c r="G83" s="13">
        <f>G81</f>
        <v>44988</v>
      </c>
      <c r="H83" s="13"/>
      <c r="I83" s="13"/>
      <c r="J83" s="5" t="s">
        <v>158</v>
      </c>
      <c r="K83" s="5" t="str">
        <f t="shared" si="3"/>
        <v>#REF!</v>
      </c>
      <c r="L83" s="14">
        <v>0.0</v>
      </c>
      <c r="M83" s="14" t="str">
        <f t="shared" ref="M83:N83" si="100">IFS(L83=1,1,F83=TODAY(),0,(AND(F83=G83,F83=TODAY())),(NOW()-TODAY()),(TODAY()-F83)/N83&gt;=1,1,(TODAY()-F83)/N83&lt;0,0,AND((TODAY()-F83)/N83&lt;1,(TODAY()-F83)/N83&gt;0),(TODAY()-F83)/N83)</f>
        <v>#REF!</v>
      </c>
      <c r="N83" s="5" t="str">
        <f t="shared" si="100"/>
        <v>#REF!</v>
      </c>
    </row>
    <row r="84" ht="15.75" customHeight="1" outlineLevel="3">
      <c r="A84" s="12" t="s">
        <v>161</v>
      </c>
      <c r="B84" s="5" t="s">
        <v>149</v>
      </c>
      <c r="C84" s="5" t="s">
        <v>159</v>
      </c>
      <c r="D84" s="5"/>
      <c r="E84" s="5" t="s">
        <v>23</v>
      </c>
      <c r="F84" s="13">
        <f>F82</f>
        <v>44991</v>
      </c>
      <c r="G84" s="13">
        <f>WORKDAY(F84,4)</f>
        <v>44995</v>
      </c>
      <c r="H84" s="13"/>
      <c r="I84" s="13"/>
      <c r="K84" s="5" t="str">
        <f t="shared" si="3"/>
        <v>#REF!</v>
      </c>
      <c r="L84" s="14">
        <v>0.0</v>
      </c>
      <c r="M84" s="14" t="str">
        <f t="shared" ref="M84:N84" si="101">IFS(L84=1,1,F84=TODAY(),0,(AND(F84=G84,F84=TODAY())),(NOW()-TODAY()),(TODAY()-F84)/N84&gt;=1,1,(TODAY()-F84)/N84&lt;0,0,AND((TODAY()-F84)/N84&lt;1,(TODAY()-F84)/N84&gt;0),(TODAY()-F84)/N84)</f>
        <v>#REF!</v>
      </c>
      <c r="N84" s="5" t="str">
        <f t="shared" si="101"/>
        <v>#REF!</v>
      </c>
    </row>
    <row r="85" ht="15.75" customHeight="1" outlineLevel="3">
      <c r="A85" s="12" t="s">
        <v>162</v>
      </c>
      <c r="B85" s="5" t="s">
        <v>151</v>
      </c>
      <c r="C85" s="5" t="s">
        <v>157</v>
      </c>
      <c r="D85" s="5"/>
      <c r="E85" s="5" t="s">
        <v>23</v>
      </c>
      <c r="F85" s="13">
        <f>WORKDAY(G51,1)</f>
        <v>44993</v>
      </c>
      <c r="G85" s="13">
        <f>F85</f>
        <v>44993</v>
      </c>
      <c r="H85" s="13"/>
      <c r="I85" s="13"/>
      <c r="J85" s="5" t="s">
        <v>158</v>
      </c>
      <c r="K85" s="5" t="str">
        <f t="shared" si="3"/>
        <v>#REF!</v>
      </c>
      <c r="L85" s="14">
        <v>0.0</v>
      </c>
      <c r="M85" s="14" t="str">
        <f t="shared" ref="M85:N85" si="102">IFS(L85=1,1,F85=TODAY(),0,(AND(F85=G85,F85=TODAY())),(NOW()-TODAY()),(TODAY()-F85)/N85&gt;=1,1,(TODAY()-F85)/N85&lt;0,0,AND((TODAY()-F85)/N85&lt;1,(TODAY()-F85)/N85&gt;0),(TODAY()-F85)/N85)</f>
        <v>#REF!</v>
      </c>
      <c r="N85" s="5" t="str">
        <f t="shared" si="102"/>
        <v>#REF!</v>
      </c>
    </row>
    <row r="86" ht="15.75" customHeight="1" outlineLevel="3">
      <c r="A86" s="12" t="s">
        <v>163</v>
      </c>
      <c r="B86" s="5" t="s">
        <v>151</v>
      </c>
      <c r="C86" s="5" t="s">
        <v>159</v>
      </c>
      <c r="D86" s="5"/>
      <c r="E86" s="5" t="s">
        <v>23</v>
      </c>
      <c r="F86" s="13">
        <f>F84</f>
        <v>44991</v>
      </c>
      <c r="G86" s="13">
        <f>WORKDAY(F86,4)</f>
        <v>44995</v>
      </c>
      <c r="H86" s="13"/>
      <c r="I86" s="13"/>
      <c r="K86" s="5" t="str">
        <f t="shared" si="3"/>
        <v>#REF!</v>
      </c>
      <c r="L86" s="14">
        <v>0.0</v>
      </c>
      <c r="M86" s="14" t="str">
        <f t="shared" ref="M86:N86" si="103">IFS(L86=1,1,F86=TODAY(),0,(AND(F86=G86,F86=TODAY())),(NOW()-TODAY()),(TODAY()-F86)/N86&gt;=1,1,(TODAY()-F86)/N86&lt;0,0,AND((TODAY()-F86)/N86&lt;1,(TODAY()-F86)/N86&gt;0),(TODAY()-F86)/N86)</f>
        <v>#REF!</v>
      </c>
      <c r="N86" s="5" t="str">
        <f t="shared" si="103"/>
        <v>#REF!</v>
      </c>
    </row>
    <row r="87" ht="15.75" customHeight="1" outlineLevel="1">
      <c r="A87" s="15" t="s">
        <v>164</v>
      </c>
      <c r="B87" s="16" t="s">
        <v>165</v>
      </c>
      <c r="C87" s="16"/>
      <c r="D87" s="16"/>
      <c r="E87" s="16"/>
      <c r="F87" s="17">
        <f>MIN(F88:F99)</f>
        <v>44977</v>
      </c>
      <c r="G87" s="17">
        <f>MAX(G88:G99)</f>
        <v>45064</v>
      </c>
      <c r="H87" s="17"/>
      <c r="I87" s="17"/>
      <c r="J87" s="16"/>
      <c r="K87" s="16" t="str">
        <f t="shared" si="3"/>
        <v>#REF!</v>
      </c>
      <c r="L87" s="18">
        <f t="shared" ref="L87:M87" si="104">AVERAGE(L88,L93,L97)</f>
        <v>0</v>
      </c>
      <c r="M87" s="18" t="str">
        <f t="shared" si="104"/>
        <v>#REF!</v>
      </c>
      <c r="N87" s="16" t="str">
        <f t="shared" ref="N87:N88" si="106">IFS(M87=1,1,G87=TODAY(),0,(AND(G87=H87,G87=TODAY())),(NOW()-TODAY()),(TODAY()-G87)/O87&gt;=1,1,(TODAY()-G87)/O87&lt;0,0,AND((TODAY()-G87)/O87&lt;1,(TODAY()-G87)/O87&gt;0),(TODAY()-G87)/O87)</f>
        <v>#REF!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5.75" customHeight="1" outlineLevel="2">
      <c r="A88" s="23" t="s">
        <v>166</v>
      </c>
      <c r="B88" s="24" t="s">
        <v>167</v>
      </c>
      <c r="C88" s="24"/>
      <c r="D88" s="24"/>
      <c r="E88" s="24"/>
      <c r="F88" s="25">
        <f>MIN(F89:F92)</f>
        <v>44977</v>
      </c>
      <c r="G88" s="25">
        <f>MAX(G89:G92)</f>
        <v>44998</v>
      </c>
      <c r="H88" s="25"/>
      <c r="I88" s="25"/>
      <c r="J88" s="24"/>
      <c r="K88" s="24" t="str">
        <f t="shared" si="3"/>
        <v>#REF!</v>
      </c>
      <c r="L88" s="26">
        <f t="shared" ref="L88:M88" si="105">AVERAGE(L89:L92)</f>
        <v>0</v>
      </c>
      <c r="M88" s="26" t="str">
        <f t="shared" si="105"/>
        <v>#REF!</v>
      </c>
      <c r="N88" s="24" t="str">
        <f t="shared" si="106"/>
        <v>#REF!</v>
      </c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ht="15.75" customHeight="1" outlineLevel="3">
      <c r="A89" s="30" t="s">
        <v>168</v>
      </c>
      <c r="B89" s="5" t="s">
        <v>167</v>
      </c>
      <c r="C89" s="5" t="s">
        <v>169</v>
      </c>
      <c r="D89" s="5" t="s">
        <v>83</v>
      </c>
      <c r="E89" s="5" t="s">
        <v>96</v>
      </c>
      <c r="F89" s="13">
        <v>44977.0</v>
      </c>
      <c r="G89" s="13">
        <f t="shared" ref="G89:G91" si="108">WORKDAY(F89,7)</f>
        <v>44986</v>
      </c>
      <c r="H89" s="13"/>
      <c r="I89" s="13"/>
      <c r="K89" s="5" t="str">
        <f t="shared" si="3"/>
        <v>#REF!</v>
      </c>
      <c r="L89" s="14">
        <v>0.0</v>
      </c>
      <c r="M89" s="14" t="str">
        <f t="shared" ref="M89:N89" si="107">IFS(L89=1,1,F89=TODAY(),0,(AND(F89=G89,F89=TODAY())),(NOW()-TODAY()),(TODAY()-F89)/N89&gt;=1,1,(TODAY()-F89)/N89&lt;0,0,AND((TODAY()-F89)/N89&lt;1,(TODAY()-F89)/N89&gt;0),(TODAY()-F89)/N89)</f>
        <v>#REF!</v>
      </c>
      <c r="N89" s="5" t="str">
        <f t="shared" si="107"/>
        <v>#REF!</v>
      </c>
    </row>
    <row r="90" ht="15.75" customHeight="1" outlineLevel="3">
      <c r="A90" s="30" t="s">
        <v>168</v>
      </c>
      <c r="B90" s="5" t="s">
        <v>167</v>
      </c>
      <c r="C90" s="5" t="s">
        <v>170</v>
      </c>
      <c r="D90" s="5" t="s">
        <v>83</v>
      </c>
      <c r="E90" s="5" t="s">
        <v>96</v>
      </c>
      <c r="F90" s="13">
        <f>WORKDAY(G89,1)</f>
        <v>44987</v>
      </c>
      <c r="G90" s="13">
        <f t="shared" si="108"/>
        <v>44998</v>
      </c>
      <c r="H90" s="13"/>
      <c r="I90" s="13"/>
      <c r="K90" s="5" t="str">
        <f t="shared" si="3"/>
        <v>#REF!</v>
      </c>
      <c r="L90" s="14">
        <v>0.0</v>
      </c>
      <c r="M90" s="14" t="str">
        <f t="shared" ref="M90:N90" si="109">IFS(L90=1,1,F90=TODAY(),0,(AND(F90=G90,F90=TODAY())),(NOW()-TODAY()),(TODAY()-F90)/N90&gt;=1,1,(TODAY()-F90)/N90&lt;0,0,AND((TODAY()-F90)/N90&lt;1,(TODAY()-F90)/N90&gt;0),(TODAY()-F90)/N90)</f>
        <v>#REF!</v>
      </c>
      <c r="N90" s="5" t="str">
        <f t="shared" si="109"/>
        <v>#REF!</v>
      </c>
    </row>
    <row r="91" ht="15.75" customHeight="1" outlineLevel="3">
      <c r="A91" s="30" t="s">
        <v>171</v>
      </c>
      <c r="B91" s="5" t="s">
        <v>167</v>
      </c>
      <c r="C91" s="5" t="s">
        <v>172</v>
      </c>
      <c r="D91" s="5" t="s">
        <v>83</v>
      </c>
      <c r="E91" s="5" t="s">
        <v>96</v>
      </c>
      <c r="F91" s="13">
        <f>WORKDAY(G89,1)</f>
        <v>44987</v>
      </c>
      <c r="G91" s="13">
        <f t="shared" si="108"/>
        <v>44998</v>
      </c>
      <c r="H91" s="13"/>
      <c r="I91" s="13"/>
      <c r="K91" s="5" t="str">
        <f t="shared" si="3"/>
        <v>#REF!</v>
      </c>
      <c r="L91" s="14">
        <v>0.0</v>
      </c>
      <c r="M91" s="14" t="str">
        <f t="shared" ref="M91:N91" si="110">IFS(L91=1,1,F91=TODAY(),0,(AND(F91=G91,F91=TODAY())),(NOW()-TODAY()),(TODAY()-F91)/N91&gt;=1,1,(TODAY()-F91)/N91&lt;0,0,AND((TODAY()-F91)/N91&lt;1,(TODAY()-F91)/N91&gt;0),(TODAY()-F91)/N91)</f>
        <v>#REF!</v>
      </c>
      <c r="N91" s="5" t="str">
        <f t="shared" si="110"/>
        <v>#REF!</v>
      </c>
    </row>
    <row r="92" ht="15.75" customHeight="1" outlineLevel="3">
      <c r="A92" s="30" t="s">
        <v>173</v>
      </c>
      <c r="B92" s="5" t="s">
        <v>167</v>
      </c>
      <c r="C92" s="5" t="s">
        <v>174</v>
      </c>
      <c r="D92" s="5" t="s">
        <v>83</v>
      </c>
      <c r="E92" s="5" t="s">
        <v>96</v>
      </c>
      <c r="F92" s="13">
        <f t="shared" ref="F92:G92" si="111">F91</f>
        <v>44987</v>
      </c>
      <c r="G92" s="13">
        <f t="shared" si="111"/>
        <v>44998</v>
      </c>
      <c r="H92" s="13"/>
      <c r="I92" s="13"/>
      <c r="K92" s="5" t="str">
        <f t="shared" si="3"/>
        <v>#REF!</v>
      </c>
      <c r="L92" s="14">
        <v>0.0</v>
      </c>
      <c r="M92" s="14" t="str">
        <f t="shared" ref="M92:N92" si="112">IFS(L92=1,1,F92=TODAY(),0,(AND(F92=G92,F92=TODAY())),(NOW()-TODAY()),(TODAY()-F92)/N92&gt;=1,1,(TODAY()-F92)/N92&lt;0,0,AND((TODAY()-F92)/N92&lt;1,(TODAY()-F92)/N92&gt;0),(TODAY()-F92)/N92)</f>
        <v>#REF!</v>
      </c>
      <c r="N92" s="5" t="str">
        <f t="shared" si="112"/>
        <v>#REF!</v>
      </c>
    </row>
    <row r="93" ht="15.75" customHeight="1" outlineLevel="2">
      <c r="A93" s="23" t="s">
        <v>175</v>
      </c>
      <c r="B93" s="24" t="s">
        <v>176</v>
      </c>
      <c r="C93" s="24"/>
      <c r="D93" s="24"/>
      <c r="E93" s="24"/>
      <c r="F93" s="25">
        <f>MIN(F94:F96)</f>
        <v>45022</v>
      </c>
      <c r="G93" s="25">
        <f>MAX(G94:G96)</f>
        <v>45056</v>
      </c>
      <c r="H93" s="25"/>
      <c r="I93" s="25"/>
      <c r="J93" s="24"/>
      <c r="K93" s="24" t="str">
        <f t="shared" si="3"/>
        <v>#REF!</v>
      </c>
      <c r="L93" s="26">
        <f t="shared" ref="L93:M93" si="113">AVERAGE(L94:L96)</f>
        <v>0</v>
      </c>
      <c r="M93" s="26" t="str">
        <f t="shared" si="113"/>
        <v>#REF!</v>
      </c>
      <c r="N93" s="24" t="str">
        <f>IFS(M93=1,1,G93=TODAY(),0,(AND(G93=H93,G93=TODAY())),(NOW()-TODAY()),(TODAY()-G93)/O93&gt;=1,1,(TODAY()-G93)/O93&lt;0,0,AND((TODAY()-G93)/O93&lt;1,(TODAY()-G93)/O93&gt;0),(TODAY()-G93)/O93)</f>
        <v>#REF!</v>
      </c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ht="15.75" customHeight="1" outlineLevel="3">
      <c r="A94" s="12" t="s">
        <v>177</v>
      </c>
      <c r="B94" s="5" t="s">
        <v>176</v>
      </c>
      <c r="C94" s="5" t="s">
        <v>172</v>
      </c>
      <c r="D94" s="5" t="s">
        <v>83</v>
      </c>
      <c r="E94" s="5" t="s">
        <v>96</v>
      </c>
      <c r="F94" s="13">
        <f>WORKDAY(G88,18)</f>
        <v>45022</v>
      </c>
      <c r="G94" s="13">
        <f>WORKDAY(F94,3)</f>
        <v>45027</v>
      </c>
      <c r="H94" s="13"/>
      <c r="I94" s="13"/>
      <c r="K94" s="5" t="str">
        <f t="shared" si="3"/>
        <v>#REF!</v>
      </c>
      <c r="L94" s="14">
        <v>0.0</v>
      </c>
      <c r="M94" s="14" t="str">
        <f t="shared" ref="M94:N94" si="114">IFS(L94=1,1,F94=TODAY(),0,(AND(F94=G94,F94=TODAY())),(NOW()-TODAY()),(TODAY()-F94)/N94&gt;=1,1,(TODAY()-F94)/N94&lt;0,0,AND((TODAY()-F94)/N94&lt;1,(TODAY()-F94)/N94&gt;0),(TODAY()-F94)/N94)</f>
        <v>#REF!</v>
      </c>
      <c r="N94" s="5" t="str">
        <f t="shared" si="114"/>
        <v>#REF!</v>
      </c>
    </row>
    <row r="95" ht="15.75" customHeight="1" outlineLevel="3">
      <c r="A95" s="12" t="s">
        <v>178</v>
      </c>
      <c r="B95" s="5" t="s">
        <v>176</v>
      </c>
      <c r="C95" s="5" t="s">
        <v>174</v>
      </c>
      <c r="D95" s="5"/>
      <c r="E95" s="5" t="s">
        <v>96</v>
      </c>
      <c r="F95" s="13">
        <f>WORKDAY(G94,1)</f>
        <v>45028</v>
      </c>
      <c r="G95" s="13">
        <f>WORKDAY(F95,4)</f>
        <v>45034</v>
      </c>
      <c r="H95" s="13"/>
      <c r="I95" s="13"/>
      <c r="K95" s="5" t="str">
        <f t="shared" si="3"/>
        <v>#REF!</v>
      </c>
      <c r="L95" s="14">
        <v>0.0</v>
      </c>
      <c r="M95" s="14" t="str">
        <f t="shared" ref="M95:N95" si="115">IFS(L95=1,1,F95=TODAY(),0,(AND(F95=G95,F95=TODAY())),(NOW()-TODAY()),(TODAY()-F95)/N95&gt;=1,1,(TODAY()-F95)/N95&lt;0,0,AND((TODAY()-F95)/N95&lt;1,(TODAY()-F95)/N95&gt;0),(TODAY()-F95)/N95)</f>
        <v>#REF!</v>
      </c>
      <c r="N95" s="5" t="str">
        <f t="shared" si="115"/>
        <v>#REF!</v>
      </c>
    </row>
    <row r="96" ht="15.75" customHeight="1" outlineLevel="3">
      <c r="A96" s="12" t="s">
        <v>179</v>
      </c>
      <c r="B96" s="5" t="s">
        <v>176</v>
      </c>
      <c r="C96" s="5" t="s">
        <v>180</v>
      </c>
      <c r="D96" s="5"/>
      <c r="E96" s="5" t="s">
        <v>96</v>
      </c>
      <c r="F96" s="13">
        <f>F95</f>
        <v>45028</v>
      </c>
      <c r="G96" s="13">
        <f>WORKDAY(F96,20)</f>
        <v>45056</v>
      </c>
      <c r="H96" s="13"/>
      <c r="I96" s="13"/>
      <c r="K96" s="5" t="str">
        <f t="shared" si="3"/>
        <v>#REF!</v>
      </c>
      <c r="L96" s="14">
        <v>0.0</v>
      </c>
      <c r="M96" s="14" t="str">
        <f t="shared" ref="M96:N96" si="116">IFS(L96=1,1,F96=TODAY(),0,(AND(F96=G96,F96=TODAY())),(NOW()-TODAY()),(TODAY()-F96)/N96&gt;=1,1,(TODAY()-F96)/N96&lt;0,0,AND((TODAY()-F96)/N96&lt;1,(TODAY()-F96)/N96&gt;0),(TODAY()-F96)/N96)</f>
        <v>#REF!</v>
      </c>
      <c r="N96" s="5" t="str">
        <f t="shared" si="116"/>
        <v>#REF!</v>
      </c>
    </row>
    <row r="97" ht="15.75" customHeight="1" outlineLevel="2">
      <c r="A97" s="23" t="s">
        <v>181</v>
      </c>
      <c r="B97" s="24" t="s">
        <v>182</v>
      </c>
      <c r="C97" s="24"/>
      <c r="D97" s="24"/>
      <c r="E97" s="24"/>
      <c r="F97" s="25">
        <f>MIN(F98:F99)</f>
        <v>45062</v>
      </c>
      <c r="G97" s="25">
        <f>MAX(G98:G99)</f>
        <v>45064</v>
      </c>
      <c r="H97" s="25"/>
      <c r="I97" s="25"/>
      <c r="J97" s="24"/>
      <c r="K97" s="24" t="str">
        <f t="shared" si="3"/>
        <v>#REF!</v>
      </c>
      <c r="L97" s="26">
        <f t="shared" ref="L97:M97" si="117">AVERAGE(L99)</f>
        <v>0</v>
      </c>
      <c r="M97" s="26" t="str">
        <f t="shared" si="117"/>
        <v>#REF!</v>
      </c>
      <c r="N97" s="24" t="str">
        <f>IFS(M97=1,1,G97=TODAY(),0,(AND(G97=H97,G97=TODAY())),(NOW()-TODAY()),(TODAY()-G97)/O97&gt;=1,1,(TODAY()-G97)/O97&lt;0,0,AND((TODAY()-G97)/O97&lt;1,(TODAY()-G97)/O97&gt;0),(TODAY()-G97)/O97)</f>
        <v>#REF!</v>
      </c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ht="15.75" customHeight="1" outlineLevel="3">
      <c r="A98" s="12" t="s">
        <v>183</v>
      </c>
      <c r="B98" s="5" t="s">
        <v>182</v>
      </c>
      <c r="C98" s="5" t="s">
        <v>184</v>
      </c>
      <c r="D98" s="5"/>
      <c r="E98" s="5" t="s">
        <v>96</v>
      </c>
      <c r="F98" s="13">
        <f>WORKDAY(G96,4)</f>
        <v>45062</v>
      </c>
      <c r="G98" s="13">
        <f t="shared" ref="G98:G99" si="119">F98</f>
        <v>45062</v>
      </c>
      <c r="H98" s="13"/>
      <c r="I98" s="13"/>
      <c r="K98" s="5" t="str">
        <f t="shared" si="3"/>
        <v>#REF!</v>
      </c>
      <c r="L98" s="14">
        <v>0.0</v>
      </c>
      <c r="M98" s="14" t="str">
        <f t="shared" ref="M98:N98" si="118">IFS(L98=1,1,F98=TODAY(),0,(AND(F98=G98,F98=TODAY())),(NOW()-TODAY()),(TODAY()-F98)/N98&gt;=1,1,(TODAY()-F98)/N98&lt;0,0,AND((TODAY()-F98)/N98&lt;1,(TODAY()-F98)/N98&gt;0),(TODAY()-F98)/N98)</f>
        <v>#REF!</v>
      </c>
      <c r="N98" s="5" t="str">
        <f t="shared" si="118"/>
        <v>#REF!</v>
      </c>
    </row>
    <row r="99" ht="15.75" customHeight="1" outlineLevel="3">
      <c r="A99" s="12" t="s">
        <v>185</v>
      </c>
      <c r="B99" s="5" t="s">
        <v>182</v>
      </c>
      <c r="C99" s="5" t="s">
        <v>186</v>
      </c>
      <c r="D99" s="5"/>
      <c r="E99" s="5" t="s">
        <v>96</v>
      </c>
      <c r="F99" s="13">
        <f>G98+2</f>
        <v>45064</v>
      </c>
      <c r="G99" s="13">
        <f t="shared" si="119"/>
        <v>45064</v>
      </c>
      <c r="H99" s="13"/>
      <c r="I99" s="13"/>
      <c r="K99" s="5" t="str">
        <f t="shared" si="3"/>
        <v>#REF!</v>
      </c>
      <c r="L99" s="14">
        <v>0.0</v>
      </c>
      <c r="M99" s="14" t="str">
        <f t="shared" ref="M99:N99" si="120">IFS(L99=1,1,F99=TODAY(),0,(AND(F99=G99,F99=TODAY())),(NOW()-TODAY()),(TODAY()-F99)/N99&gt;=1,1,(TODAY()-F99)/N99&lt;0,0,AND((TODAY()-F99)/N99&lt;1,(TODAY()-F99)/N99&gt;0),(TODAY()-F99)/N99)</f>
        <v>#REF!</v>
      </c>
      <c r="N99" s="5" t="str">
        <f t="shared" si="120"/>
        <v>#REF!</v>
      </c>
    </row>
    <row r="100" ht="16.5" customHeight="1">
      <c r="A100" s="6" t="s">
        <v>187</v>
      </c>
      <c r="B100" s="21" t="s">
        <v>188</v>
      </c>
      <c r="C100" s="8" t="s">
        <v>189</v>
      </c>
      <c r="D100" s="7"/>
      <c r="E100" s="22" t="s">
        <v>88</v>
      </c>
      <c r="F100" s="10">
        <f t="shared" ref="F100:G100" si="121">F101</f>
        <v>44994</v>
      </c>
      <c r="G100" s="10">
        <f t="shared" si="121"/>
        <v>45071</v>
      </c>
      <c r="H100" s="10"/>
      <c r="I100" s="10"/>
      <c r="J100" s="7"/>
      <c r="K100" s="7" t="str">
        <f t="shared" si="3"/>
        <v>#REF!</v>
      </c>
      <c r="L100" s="11">
        <f t="shared" ref="L100:M100" si="122">L101</f>
        <v>0</v>
      </c>
      <c r="M100" s="11" t="str">
        <f t="shared" si="122"/>
        <v>#REF!</v>
      </c>
      <c r="N100" s="7" t="str">
        <f t="shared" ref="N100:N101" si="124">IFS(M100=1,1,G100=TODAY(),0,(AND(G100=H100,G100=TODAY())),(NOW()-TODAY()),(TODAY()-G100)/O100&gt;=1,1,(TODAY()-G100)/O100&lt;0,0,AND((TODAY()-G100)/O100&lt;1,(TODAY()-G100)/O100&gt;0),(TODAY()-G100)/O100)</f>
        <v>#REF!</v>
      </c>
    </row>
    <row r="101" ht="15.75" customHeight="1" outlineLevel="1">
      <c r="A101" s="23" t="s">
        <v>190</v>
      </c>
      <c r="B101" s="24" t="s">
        <v>191</v>
      </c>
      <c r="C101" s="24"/>
      <c r="D101" s="24"/>
      <c r="E101" s="24"/>
      <c r="F101" s="25">
        <f>MIN(F102:F114)</f>
        <v>44994</v>
      </c>
      <c r="G101" s="25">
        <f>MAX(G102:G114)</f>
        <v>45071</v>
      </c>
      <c r="H101" s="25"/>
      <c r="I101" s="25"/>
      <c r="J101" s="24"/>
      <c r="K101" s="24" t="str">
        <f t="shared" si="3"/>
        <v>#REF!</v>
      </c>
      <c r="L101" s="26">
        <f t="shared" ref="L101:M101" si="123">AVERAGE(L102:L114)</f>
        <v>0</v>
      </c>
      <c r="M101" s="26" t="str">
        <f t="shared" si="123"/>
        <v>#REF!</v>
      </c>
      <c r="N101" s="24" t="str">
        <f t="shared" si="124"/>
        <v>#REF!</v>
      </c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ht="15.75" customHeight="1" outlineLevel="2">
      <c r="A102" s="30" t="s">
        <v>192</v>
      </c>
      <c r="B102" s="5" t="s">
        <v>167</v>
      </c>
      <c r="C102" s="5" t="s">
        <v>193</v>
      </c>
      <c r="D102" s="5"/>
      <c r="E102" s="5" t="s">
        <v>138</v>
      </c>
      <c r="F102" s="13">
        <f>WORKDAY(G72,1)</f>
        <v>44994</v>
      </c>
      <c r="G102" s="13">
        <f>WORKDAY(F102,0)</f>
        <v>44994</v>
      </c>
      <c r="H102" s="13"/>
      <c r="I102" s="13"/>
      <c r="K102" s="5" t="str">
        <f t="shared" si="3"/>
        <v>#REF!</v>
      </c>
      <c r="L102" s="14">
        <v>0.0</v>
      </c>
      <c r="M102" s="14" t="str">
        <f t="shared" ref="M102:N102" si="125">IFS(L102=1,1,F102=TODAY(),0,(AND(F102=G102,F102=TODAY())),(NOW()-TODAY()),(TODAY()-F102)/N102&gt;=1,1,(TODAY()-F102)/N102&lt;0,0,AND((TODAY()-F102)/N102&lt;1,(TODAY()-F102)/N102&gt;0),(TODAY()-F102)/N102)</f>
        <v>#REF!</v>
      </c>
      <c r="N102" s="5" t="str">
        <f t="shared" si="125"/>
        <v>#REF!</v>
      </c>
      <c r="O102" s="5">
        <f t="shared" ref="O102:O104" si="127">_xlfn.NETWORKDAYS.INTL(F102,G102)</f>
        <v>1</v>
      </c>
    </row>
    <row r="103" ht="15.75" customHeight="1" outlineLevel="2">
      <c r="A103" s="30" t="s">
        <v>194</v>
      </c>
      <c r="B103" s="5" t="s">
        <v>167</v>
      </c>
      <c r="C103" s="5" t="s">
        <v>195</v>
      </c>
      <c r="D103" s="5"/>
      <c r="E103" s="5" t="s">
        <v>138</v>
      </c>
      <c r="F103" s="13">
        <f t="shared" ref="F103:F104" si="128">WORKDAY(G102,1)</f>
        <v>44995</v>
      </c>
      <c r="G103" s="13">
        <f>WORKDAY(F103,13)</f>
        <v>45014</v>
      </c>
      <c r="H103" s="13"/>
      <c r="I103" s="13"/>
      <c r="K103" s="5" t="str">
        <f t="shared" si="3"/>
        <v>#REF!</v>
      </c>
      <c r="L103" s="14">
        <v>0.0</v>
      </c>
      <c r="M103" s="14" t="str">
        <f t="shared" ref="M103:N103" si="126">IFS(L103=1,1,F103=TODAY(),0,(AND(F103=G103,F103=TODAY())),(NOW()-TODAY()),(TODAY()-F103)/N103&gt;=1,1,(TODAY()-F103)/N103&lt;0,0,AND((TODAY()-F103)/N103&lt;1,(TODAY()-F103)/N103&gt;0),(TODAY()-F103)/N103)</f>
        <v>#REF!</v>
      </c>
      <c r="N103" s="5" t="str">
        <f t="shared" si="126"/>
        <v>#REF!</v>
      </c>
      <c r="O103" s="5">
        <f t="shared" si="127"/>
        <v>14</v>
      </c>
    </row>
    <row r="104" ht="15.75" customHeight="1" outlineLevel="2">
      <c r="A104" s="30" t="s">
        <v>196</v>
      </c>
      <c r="B104" s="5" t="s">
        <v>167</v>
      </c>
      <c r="C104" s="5" t="s">
        <v>197</v>
      </c>
      <c r="D104" s="5"/>
      <c r="E104" s="5" t="s">
        <v>138</v>
      </c>
      <c r="F104" s="13">
        <f t="shared" si="128"/>
        <v>45015</v>
      </c>
      <c r="G104" s="13">
        <f>WORKDAY(F104,0)</f>
        <v>45015</v>
      </c>
      <c r="H104" s="13"/>
      <c r="I104" s="13"/>
      <c r="K104" s="5" t="str">
        <f t="shared" si="3"/>
        <v>#REF!</v>
      </c>
      <c r="L104" s="14">
        <v>0.0</v>
      </c>
      <c r="M104" s="14" t="str">
        <f t="shared" ref="M104:N104" si="129">IFS(L104=1,1,F104=TODAY(),0,(AND(F104=G104,F104=TODAY())),(NOW()-TODAY()),(TODAY()-F104)/N104&gt;=1,1,(TODAY()-F104)/N104&lt;0,0,AND((TODAY()-F104)/N104&lt;1,(TODAY()-F104)/N104&gt;0),(TODAY()-F104)/N104)</f>
        <v>#REF!</v>
      </c>
      <c r="N104" s="5" t="str">
        <f t="shared" si="129"/>
        <v>#REF!</v>
      </c>
      <c r="O104" s="5">
        <f t="shared" si="127"/>
        <v>1</v>
      </c>
    </row>
    <row r="105" ht="15.75" customHeight="1" outlineLevel="2">
      <c r="A105" s="30" t="s">
        <v>198</v>
      </c>
      <c r="B105" s="5" t="s">
        <v>167</v>
      </c>
      <c r="C105" s="5" t="s">
        <v>199</v>
      </c>
      <c r="D105" s="5"/>
      <c r="E105" s="5" t="s">
        <v>138</v>
      </c>
      <c r="F105" s="13">
        <f>WORKDAY(G103,1)</f>
        <v>45015</v>
      </c>
      <c r="G105" s="13">
        <f>WORKDAY(F105,2)</f>
        <v>45019</v>
      </c>
      <c r="H105" s="13"/>
      <c r="I105" s="13"/>
      <c r="K105" s="5" t="str">
        <f t="shared" si="3"/>
        <v>#REF!</v>
      </c>
      <c r="L105" s="14">
        <v>0.0</v>
      </c>
      <c r="M105" s="14" t="str">
        <f t="shared" ref="M105:N105" si="130">IFS(L105=1,1,F105=TODAY(),0,(AND(F105=G105,F105=TODAY())),(NOW()-TODAY()),(TODAY()-F105)/N105&gt;=1,1,(TODAY()-F105)/N105&lt;0,0,AND((TODAY()-F105)/N105&lt;1,(TODAY()-F105)/N105&gt;0),(TODAY()-F105)/N105)</f>
        <v>#REF!</v>
      </c>
      <c r="N105" s="5" t="str">
        <f t="shared" si="130"/>
        <v>#REF!</v>
      </c>
    </row>
    <row r="106" ht="15.75" customHeight="1" outlineLevel="2">
      <c r="A106" s="30" t="s">
        <v>198</v>
      </c>
      <c r="B106" s="5" t="s">
        <v>200</v>
      </c>
      <c r="C106" s="5" t="s">
        <v>201</v>
      </c>
      <c r="D106" s="5"/>
      <c r="E106" s="5" t="s">
        <v>138</v>
      </c>
      <c r="F106" s="13">
        <f t="shared" ref="F106:F107" si="132">WORKDAY(G105,1)</f>
        <v>45020</v>
      </c>
      <c r="G106" s="13">
        <f>WORKDAY(F106,10)</f>
        <v>45034</v>
      </c>
      <c r="H106" s="13"/>
      <c r="I106" s="13"/>
      <c r="K106" s="5" t="str">
        <f t="shared" si="3"/>
        <v>#REF!</v>
      </c>
      <c r="L106" s="14">
        <v>0.0</v>
      </c>
      <c r="M106" s="14" t="str">
        <f t="shared" ref="M106:N106" si="131">IFS(L106=1,1,F106=TODAY(),0,(AND(F106=G106,F106=TODAY())),(NOW()-TODAY()),(TODAY()-F106)/N106&gt;=1,1,(TODAY()-F106)/N106&lt;0,0,AND((TODAY()-F106)/N106&lt;1,(TODAY()-F106)/N106&gt;0),(TODAY()-F106)/N106)</f>
        <v>#REF!</v>
      </c>
      <c r="N106" s="5" t="str">
        <f t="shared" si="131"/>
        <v>#REF!</v>
      </c>
    </row>
    <row r="107" ht="15.75" customHeight="1" outlineLevel="2">
      <c r="A107" s="30" t="s">
        <v>202</v>
      </c>
      <c r="B107" s="5" t="s">
        <v>200</v>
      </c>
      <c r="C107" s="5" t="s">
        <v>203</v>
      </c>
      <c r="D107" s="5"/>
      <c r="E107" s="5" t="s">
        <v>138</v>
      </c>
      <c r="F107" s="13">
        <f t="shared" si="132"/>
        <v>45035</v>
      </c>
      <c r="G107" s="13">
        <f>WORKDAY(F107,0)</f>
        <v>45035</v>
      </c>
      <c r="H107" s="13"/>
      <c r="I107" s="13"/>
      <c r="K107" s="5" t="str">
        <f t="shared" si="3"/>
        <v>#REF!</v>
      </c>
      <c r="L107" s="14">
        <v>0.0</v>
      </c>
      <c r="M107" s="14" t="str">
        <f t="shared" ref="M107:N107" si="133">IFS(L107=1,1,F107=TODAY(),0,(AND(F107=G107,F107=TODAY())),(NOW()-TODAY()),(TODAY()-F107)/N107&gt;=1,1,(TODAY()-F107)/N107&lt;0,0,AND((TODAY()-F107)/N107&lt;1,(TODAY()-F107)/N107&gt;0),(TODAY()-F107)/N107)</f>
        <v>#REF!</v>
      </c>
      <c r="N107" s="5" t="str">
        <f t="shared" si="133"/>
        <v>#REF!</v>
      </c>
    </row>
    <row r="108" ht="15.75" customHeight="1" outlineLevel="2">
      <c r="A108" s="12" t="s">
        <v>204</v>
      </c>
      <c r="B108" s="5" t="s">
        <v>176</v>
      </c>
      <c r="C108" s="5" t="s">
        <v>205</v>
      </c>
      <c r="D108" s="5"/>
      <c r="E108" s="5" t="s">
        <v>138</v>
      </c>
      <c r="F108" s="13">
        <f t="shared" ref="F108:G108" si="134">F105</f>
        <v>45015</v>
      </c>
      <c r="G108" s="13">
        <f t="shared" si="134"/>
        <v>45019</v>
      </c>
      <c r="H108" s="13"/>
      <c r="I108" s="13"/>
      <c r="K108" s="5" t="str">
        <f t="shared" si="3"/>
        <v>#REF!</v>
      </c>
      <c r="L108" s="14">
        <v>0.0</v>
      </c>
      <c r="M108" s="14" t="str">
        <f t="shared" ref="M108:N108" si="135">IFS(L108=1,1,F108=TODAY(),0,(AND(F108=G108,F108=TODAY())),(NOW()-TODAY()),(TODAY()-F108)/N108&gt;=1,1,(TODAY()-F108)/N108&lt;0,0,AND((TODAY()-F108)/N108&lt;1,(TODAY()-F108)/N108&gt;0),(TODAY()-F108)/N108)</f>
        <v>#REF!</v>
      </c>
      <c r="N108" s="5" t="str">
        <f t="shared" si="135"/>
        <v>#REF!</v>
      </c>
    </row>
    <row r="109" ht="15.75" customHeight="1" outlineLevel="2">
      <c r="A109" s="12" t="s">
        <v>204</v>
      </c>
      <c r="B109" s="5" t="s">
        <v>176</v>
      </c>
      <c r="C109" s="5" t="s">
        <v>199</v>
      </c>
      <c r="D109" s="5"/>
      <c r="E109" s="5" t="s">
        <v>138</v>
      </c>
      <c r="F109" s="13">
        <f t="shared" ref="F109:G109" si="136">F106</f>
        <v>45020</v>
      </c>
      <c r="G109" s="13">
        <f t="shared" si="136"/>
        <v>45034</v>
      </c>
      <c r="H109" s="13"/>
      <c r="I109" s="13"/>
      <c r="K109" s="5" t="str">
        <f t="shared" si="3"/>
        <v>#REF!</v>
      </c>
      <c r="L109" s="14">
        <v>0.0</v>
      </c>
      <c r="M109" s="14" t="str">
        <f t="shared" ref="M109:N109" si="137">IFS(L109=1,1,F109=TODAY(),0,(AND(F109=G109,F109=TODAY())),(NOW()-TODAY()),(TODAY()-F109)/N109&gt;=1,1,(TODAY()-F109)/N109&lt;0,0,AND((TODAY()-F109)/N109&lt;1,(TODAY()-F109)/N109&gt;0),(TODAY()-F109)/N109)</f>
        <v>#REF!</v>
      </c>
      <c r="N109" s="5" t="str">
        <f t="shared" si="137"/>
        <v>#REF!</v>
      </c>
    </row>
    <row r="110" ht="15.75" customHeight="1" outlineLevel="2">
      <c r="A110" s="12" t="s">
        <v>204</v>
      </c>
      <c r="B110" s="5" t="s">
        <v>176</v>
      </c>
      <c r="C110" s="5" t="s">
        <v>206</v>
      </c>
      <c r="D110" s="5"/>
      <c r="E110" s="5" t="s">
        <v>138</v>
      </c>
      <c r="F110" s="13">
        <f>WORKDAY(MAX(G105:G109),1)</f>
        <v>45036</v>
      </c>
      <c r="G110" s="13">
        <f>WORKDAY(F110,25)</f>
        <v>45071</v>
      </c>
      <c r="H110" s="13"/>
      <c r="I110" s="13"/>
      <c r="K110" s="5" t="str">
        <f t="shared" si="3"/>
        <v>#REF!</v>
      </c>
      <c r="L110" s="14">
        <v>0.0</v>
      </c>
      <c r="M110" s="14" t="str">
        <f t="shared" ref="M110:N110" si="138">IFS(L110=1,1,F110=TODAY(),0,(AND(F110=G110,F110=TODAY())),(NOW()-TODAY()),(TODAY()-F110)/N110&gt;=1,1,(TODAY()-F110)/N110&lt;0,0,AND((TODAY()-F110)/N110&lt;1,(TODAY()-F110)/N110&gt;0),(TODAY()-F110)/N110)</f>
        <v>#REF!</v>
      </c>
      <c r="N110" s="5" t="str">
        <f t="shared" si="138"/>
        <v>#REF!</v>
      </c>
    </row>
    <row r="111" ht="15.75" customHeight="1" outlineLevel="2">
      <c r="A111" s="12" t="s">
        <v>204</v>
      </c>
      <c r="B111" s="5" t="s">
        <v>176</v>
      </c>
      <c r="C111" s="5" t="s">
        <v>207</v>
      </c>
      <c r="D111" s="5"/>
      <c r="E111" s="5" t="s">
        <v>138</v>
      </c>
      <c r="F111" s="13">
        <f t="shared" ref="F111:F112" si="140">F110</f>
        <v>45036</v>
      </c>
      <c r="G111" s="13">
        <f>G112</f>
        <v>45071</v>
      </c>
      <c r="H111" s="13"/>
      <c r="I111" s="13"/>
      <c r="K111" s="5" t="str">
        <f t="shared" si="3"/>
        <v>#REF!</v>
      </c>
      <c r="L111" s="14">
        <v>0.0</v>
      </c>
      <c r="M111" s="14" t="str">
        <f t="shared" ref="M111:N111" si="139">IFS(L111=1,1,F111=TODAY(),0,(AND(F111=G111,F111=TODAY())),(NOW()-TODAY()),(TODAY()-F111)/N111&gt;=1,1,(TODAY()-F111)/N111&lt;0,0,AND((TODAY()-F111)/N111&lt;1,(TODAY()-F111)/N111&gt;0),(TODAY()-F111)/N111)</f>
        <v>#REF!</v>
      </c>
      <c r="N111" s="5" t="str">
        <f t="shared" si="139"/>
        <v>#REF!</v>
      </c>
    </row>
    <row r="112" ht="15.75" customHeight="1" outlineLevel="2">
      <c r="A112" s="12" t="s">
        <v>204</v>
      </c>
      <c r="B112" s="5" t="s">
        <v>176</v>
      </c>
      <c r="C112" s="5" t="s">
        <v>208</v>
      </c>
      <c r="D112" s="5"/>
      <c r="E112" s="5" t="s">
        <v>138</v>
      </c>
      <c r="F112" s="13">
        <f t="shared" si="140"/>
        <v>45036</v>
      </c>
      <c r="G112" s="13">
        <f>G110</f>
        <v>45071</v>
      </c>
      <c r="H112" s="13"/>
      <c r="I112" s="13"/>
      <c r="K112" s="5" t="str">
        <f t="shared" si="3"/>
        <v>#REF!</v>
      </c>
      <c r="L112" s="14">
        <v>0.0</v>
      </c>
      <c r="M112" s="14" t="str">
        <f t="shared" ref="M112:N112" si="141">IFS(L112=1,1,F112=TODAY(),0,(AND(F112=G112,F112=TODAY())),(NOW()-TODAY()),(TODAY()-F112)/N112&gt;=1,1,(TODAY()-F112)/N112&lt;0,0,AND((TODAY()-F112)/N112&lt;1,(TODAY()-F112)/N112&gt;0),(TODAY()-F112)/N112)</f>
        <v>#REF!</v>
      </c>
      <c r="N112" s="5" t="str">
        <f t="shared" si="141"/>
        <v>#REF!</v>
      </c>
    </row>
    <row r="113" ht="15.75" customHeight="1" outlineLevel="2">
      <c r="A113" s="12" t="s">
        <v>204</v>
      </c>
      <c r="B113" s="5" t="s">
        <v>176</v>
      </c>
      <c r="C113" s="5" t="s">
        <v>205</v>
      </c>
      <c r="D113" s="5"/>
      <c r="E113" s="5" t="s">
        <v>138</v>
      </c>
      <c r="F113" s="13">
        <f t="shared" ref="F113:G113" si="142">F110</f>
        <v>45036</v>
      </c>
      <c r="G113" s="13">
        <f t="shared" si="142"/>
        <v>45071</v>
      </c>
      <c r="H113" s="13"/>
      <c r="I113" s="13"/>
      <c r="K113" s="5" t="str">
        <f t="shared" si="3"/>
        <v>#REF!</v>
      </c>
      <c r="L113" s="14">
        <v>0.0</v>
      </c>
      <c r="M113" s="14" t="str">
        <f t="shared" ref="M113:N113" si="143">IFS(L113=1,1,F113=TODAY(),0,(AND(F113=G113,F113=TODAY())),(NOW()-TODAY()),(TODAY()-F113)/N113&gt;=1,1,(TODAY()-F113)/N113&lt;0,0,AND((TODAY()-F113)/N113&lt;1,(TODAY()-F113)/N113&gt;0),(TODAY()-F113)/N113)</f>
        <v>#REF!</v>
      </c>
      <c r="N113" s="5" t="str">
        <f t="shared" si="143"/>
        <v>#REF!</v>
      </c>
    </row>
    <row r="114" ht="15.75" customHeight="1" outlineLevel="2">
      <c r="A114" s="30" t="s">
        <v>209</v>
      </c>
      <c r="B114" s="5" t="s">
        <v>167</v>
      </c>
      <c r="C114" s="5" t="s">
        <v>174</v>
      </c>
      <c r="D114" s="5"/>
      <c r="E114" s="5" t="s">
        <v>138</v>
      </c>
      <c r="F114" s="13">
        <f>F106</f>
        <v>45020</v>
      </c>
      <c r="G114" s="13">
        <f>G113</f>
        <v>45071</v>
      </c>
      <c r="H114" s="13"/>
      <c r="I114" s="13"/>
      <c r="K114" s="5" t="str">
        <f t="shared" si="3"/>
        <v>#REF!</v>
      </c>
      <c r="L114" s="14">
        <v>0.0</v>
      </c>
      <c r="M114" s="14" t="str">
        <f t="shared" ref="M114:N114" si="144">IFS(L114=1,1,F114=TODAY(),0,(AND(F114=G114,F114=TODAY())),(NOW()-TODAY()),(TODAY()-F114)/N114&gt;=1,1,(TODAY()-F114)/N114&lt;0,0,AND((TODAY()-F114)/N114&lt;1,(TODAY()-F114)/N114&gt;0),(TODAY()-F114)/N114)</f>
        <v>#REF!</v>
      </c>
      <c r="N114" s="5" t="str">
        <f t="shared" si="144"/>
        <v>#REF!</v>
      </c>
    </row>
    <row r="115" ht="16.5" customHeight="1" collapsed="1">
      <c r="A115" s="6" t="s">
        <v>210</v>
      </c>
      <c r="B115" s="21" t="s">
        <v>211</v>
      </c>
      <c r="C115" s="8" t="s">
        <v>212</v>
      </c>
      <c r="D115" s="7"/>
      <c r="E115" s="22" t="s">
        <v>88</v>
      </c>
      <c r="F115" s="10">
        <f>MIN(F116:F135)</f>
        <v>44998</v>
      </c>
      <c r="G115" s="10">
        <f>MAX(G116:G135)</f>
        <v>45094</v>
      </c>
      <c r="H115" s="10"/>
      <c r="I115" s="10"/>
      <c r="J115" s="7"/>
      <c r="K115" s="7" t="str">
        <f t="shared" si="3"/>
        <v>#REF!</v>
      </c>
      <c r="L115" s="11">
        <f t="shared" ref="L115:M115" si="145">AVERAGE(L116,L122,L129)</f>
        <v>0</v>
      </c>
      <c r="M115" s="11" t="str">
        <f t="shared" si="145"/>
        <v>#REF!</v>
      </c>
      <c r="N115" s="7" t="str">
        <f t="shared" ref="N115:N116" si="147">IFS(M115=1,1,G115=TODAY(),0,(AND(G115=H115,G115=TODAY())),(NOW()-TODAY()),(TODAY()-G115)/O115&gt;=1,1,(TODAY()-G115)/O115&lt;0,0,AND((TODAY()-G115)/O115&lt;1,(TODAY()-G115)/O115&gt;0),(TODAY()-G115)/O115)</f>
        <v>#REF!</v>
      </c>
    </row>
    <row r="116" ht="15.75" hidden="1" customHeight="1" outlineLevel="1">
      <c r="A116" s="23" t="s">
        <v>213</v>
      </c>
      <c r="B116" s="5" t="s">
        <v>167</v>
      </c>
      <c r="C116" s="24"/>
      <c r="D116" s="24"/>
      <c r="E116" s="24"/>
      <c r="F116" s="25">
        <f>MIN(F117:F121)</f>
        <v>44998</v>
      </c>
      <c r="G116" s="25">
        <f>MAX(G117:G121)</f>
        <v>45034</v>
      </c>
      <c r="H116" s="25"/>
      <c r="I116" s="25"/>
      <c r="J116" s="24"/>
      <c r="K116" s="24" t="str">
        <f t="shared" si="3"/>
        <v>#REF!</v>
      </c>
      <c r="L116" s="26">
        <f t="shared" ref="L116:M116" si="146">AVERAGE(L117:L121)</f>
        <v>0</v>
      </c>
      <c r="M116" s="26" t="str">
        <f t="shared" si="146"/>
        <v>#REF!</v>
      </c>
      <c r="N116" s="24" t="str">
        <f t="shared" si="147"/>
        <v>#REF!</v>
      </c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ht="15.75" hidden="1" customHeight="1" outlineLevel="2">
      <c r="A117" s="12" t="s">
        <v>214</v>
      </c>
      <c r="B117" s="5" t="s">
        <v>215</v>
      </c>
      <c r="C117" s="5" t="s">
        <v>216</v>
      </c>
      <c r="D117" s="5"/>
      <c r="E117" s="5" t="s">
        <v>96</v>
      </c>
      <c r="F117" s="13">
        <f>WORKDAY(G80,1)</f>
        <v>44998</v>
      </c>
      <c r="G117" s="13">
        <f>WORKDAY(F117,15)</f>
        <v>45019</v>
      </c>
      <c r="H117" s="13"/>
      <c r="I117" s="13"/>
      <c r="K117" s="5" t="str">
        <f t="shared" si="3"/>
        <v>#REF!</v>
      </c>
      <c r="L117" s="14">
        <v>0.0</v>
      </c>
      <c r="M117" s="14" t="str">
        <f t="shared" ref="M117:N117" si="148">IFS(L117=1,1,F117=TODAY(),0,(AND(F117=G117,F117=TODAY())),(NOW()-TODAY()),(TODAY()-F117)/N117&gt;=1,1,(TODAY()-F117)/N117&lt;0,0,AND((TODAY()-F117)/N117&lt;1,(TODAY()-F117)/N117&gt;0),(TODAY()-F117)/N117)</f>
        <v>#REF!</v>
      </c>
      <c r="N117" s="5" t="str">
        <f t="shared" si="148"/>
        <v>#REF!</v>
      </c>
    </row>
    <row r="118" ht="15.75" hidden="1" customHeight="1" outlineLevel="2">
      <c r="A118" s="12" t="s">
        <v>214</v>
      </c>
      <c r="B118" s="5" t="s">
        <v>215</v>
      </c>
      <c r="C118" s="5" t="s">
        <v>217</v>
      </c>
      <c r="D118" s="5"/>
      <c r="E118" s="5" t="s">
        <v>96</v>
      </c>
      <c r="F118" s="13">
        <f>WORKDAY(G117,-10)</f>
        <v>45005</v>
      </c>
      <c r="G118" s="13">
        <f>WORKDAY(F118,5)</f>
        <v>45012</v>
      </c>
      <c r="H118" s="13"/>
      <c r="I118" s="13"/>
      <c r="K118" s="5" t="str">
        <f t="shared" si="3"/>
        <v>#REF!</v>
      </c>
      <c r="L118" s="14">
        <v>0.0</v>
      </c>
      <c r="M118" s="14" t="str">
        <f t="shared" ref="M118:N118" si="149">IFS(L118=1,1,F118=TODAY(),0,(AND(F118=G118,F118=TODAY())),(NOW()-TODAY()),(TODAY()-F118)/N118&gt;=1,1,(TODAY()-F118)/N118&lt;0,0,AND((TODAY()-F118)/N118&lt;1,(TODAY()-F118)/N118&gt;0),(TODAY()-F118)/N118)</f>
        <v>#REF!</v>
      </c>
      <c r="N118" s="5" t="str">
        <f t="shared" si="149"/>
        <v>#REF!</v>
      </c>
    </row>
    <row r="119" ht="15.75" hidden="1" customHeight="1" outlineLevel="2">
      <c r="A119" s="12" t="s">
        <v>218</v>
      </c>
      <c r="B119" s="5" t="s">
        <v>215</v>
      </c>
      <c r="C119" s="5" t="s">
        <v>200</v>
      </c>
      <c r="D119" s="5"/>
      <c r="E119" s="5" t="s">
        <v>96</v>
      </c>
      <c r="F119" s="13">
        <f>WORKDAY(G117,1)</f>
        <v>45020</v>
      </c>
      <c r="G119" s="13">
        <f>WORKDAY(F119,8)</f>
        <v>45030</v>
      </c>
      <c r="H119" s="13"/>
      <c r="I119" s="13"/>
      <c r="K119" s="5" t="str">
        <f t="shared" si="3"/>
        <v>#REF!</v>
      </c>
      <c r="L119" s="14">
        <v>0.0</v>
      </c>
      <c r="M119" s="14" t="str">
        <f t="shared" ref="M119:N119" si="150">IFS(L119=1,1,F119=TODAY(),0,(AND(F119=G119,F119=TODAY())),(NOW()-TODAY()),(TODAY()-F119)/N119&gt;=1,1,(TODAY()-F119)/N119&lt;0,0,AND((TODAY()-F119)/N119&lt;1,(TODAY()-F119)/N119&gt;0),(TODAY()-F119)/N119)</f>
        <v>#REF!</v>
      </c>
      <c r="N119" s="5" t="str">
        <f t="shared" si="150"/>
        <v>#REF!</v>
      </c>
    </row>
    <row r="120" ht="15.75" hidden="1" customHeight="1" outlineLevel="2">
      <c r="A120" s="12" t="s">
        <v>218</v>
      </c>
      <c r="B120" s="5" t="s">
        <v>215</v>
      </c>
      <c r="C120" s="5" t="s">
        <v>219</v>
      </c>
      <c r="D120" s="5"/>
      <c r="E120" s="5" t="s">
        <v>96</v>
      </c>
      <c r="F120" s="13">
        <f>WORKDAY(G119,1)</f>
        <v>45033</v>
      </c>
      <c r="G120" s="13">
        <f>WORKDAY(F120,1)</f>
        <v>45034</v>
      </c>
      <c r="H120" s="13"/>
      <c r="I120" s="13"/>
      <c r="K120" s="5" t="str">
        <f t="shared" si="3"/>
        <v>#REF!</v>
      </c>
      <c r="L120" s="14">
        <v>0.0</v>
      </c>
      <c r="M120" s="14" t="str">
        <f t="shared" ref="M120:N120" si="151">IFS(L120=1,1,F120=TODAY(),0,(AND(F120=G120,F120=TODAY())),(NOW()-TODAY()),(TODAY()-F120)/N120&gt;=1,1,(TODAY()-F120)/N120&lt;0,0,AND((TODAY()-F120)/N120&lt;1,(TODAY()-F120)/N120&gt;0),(TODAY()-F120)/N120)</f>
        <v>#REF!</v>
      </c>
      <c r="N120" s="5" t="str">
        <f t="shared" si="151"/>
        <v>#REF!</v>
      </c>
    </row>
    <row r="121" ht="15.75" hidden="1" customHeight="1" outlineLevel="2">
      <c r="A121" s="12" t="s">
        <v>220</v>
      </c>
      <c r="B121" s="5" t="s">
        <v>215</v>
      </c>
      <c r="C121" s="5" t="s">
        <v>174</v>
      </c>
      <c r="D121" s="5"/>
      <c r="E121" s="5" t="s">
        <v>96</v>
      </c>
      <c r="F121" s="13">
        <f>F119</f>
        <v>45020</v>
      </c>
      <c r="G121" s="13">
        <f>G120</f>
        <v>45034</v>
      </c>
      <c r="H121" s="13"/>
      <c r="I121" s="13"/>
      <c r="K121" s="5" t="str">
        <f t="shared" si="3"/>
        <v>#REF!</v>
      </c>
      <c r="L121" s="14">
        <v>0.0</v>
      </c>
      <c r="M121" s="14" t="str">
        <f t="shared" ref="M121:N121" si="152">IFS(L121=1,1,F121=TODAY(),0,(AND(F121=G121,F121=TODAY())),(NOW()-TODAY()),(TODAY()-F121)/N121&gt;=1,1,(TODAY()-F121)/N121&lt;0,0,AND((TODAY()-F121)/N121&lt;1,(TODAY()-F121)/N121&gt;0),(TODAY()-F121)/N121)</f>
        <v>#REF!</v>
      </c>
      <c r="N121" s="5" t="str">
        <f t="shared" si="152"/>
        <v>#REF!</v>
      </c>
    </row>
    <row r="122" ht="15.75" hidden="1" customHeight="1" outlineLevel="1">
      <c r="A122" s="23" t="s">
        <v>221</v>
      </c>
      <c r="B122" s="5" t="s">
        <v>176</v>
      </c>
      <c r="C122" s="24"/>
      <c r="D122" s="24"/>
      <c r="E122" s="24"/>
      <c r="F122" s="25">
        <f>MIN(F123:F128)</f>
        <v>45035</v>
      </c>
      <c r="G122" s="25">
        <f>MAX(G123:G128)</f>
        <v>45085</v>
      </c>
      <c r="H122" s="25"/>
      <c r="I122" s="25"/>
      <c r="J122" s="24"/>
      <c r="K122" s="24" t="str">
        <f t="shared" si="3"/>
        <v>#REF!</v>
      </c>
      <c r="L122" s="26">
        <f t="shared" ref="L122:M122" si="153">AVERAGE(L123:L128)</f>
        <v>0</v>
      </c>
      <c r="M122" s="26" t="str">
        <f t="shared" si="153"/>
        <v>#REF!</v>
      </c>
      <c r="N122" s="24" t="str">
        <f>IFS(M122=1,1,G122=TODAY(),0,(AND(G122=H122,G122=TODAY())),(NOW()-TODAY()),(TODAY()-G122)/O122&gt;=1,1,(TODAY()-G122)/O122&lt;0,0,AND((TODAY()-G122)/O122&lt;1,(TODAY()-G122)/O122&gt;0),(TODAY()-G122)/O122)</f>
        <v>#REF!</v>
      </c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ht="15.75" hidden="1" customHeight="1" outlineLevel="2">
      <c r="A123" s="12" t="s">
        <v>222</v>
      </c>
      <c r="B123" s="5" t="s">
        <v>215</v>
      </c>
      <c r="C123" s="5" t="s">
        <v>223</v>
      </c>
      <c r="D123" s="5"/>
      <c r="E123" s="5" t="s">
        <v>96</v>
      </c>
      <c r="F123" s="13">
        <f>WORKDAY(G116,1)</f>
        <v>45035</v>
      </c>
      <c r="G123" s="13">
        <f>WORKDAY(F123,3)</f>
        <v>45040</v>
      </c>
      <c r="H123" s="13"/>
      <c r="I123" s="13"/>
      <c r="K123" s="5" t="str">
        <f t="shared" si="3"/>
        <v>#REF!</v>
      </c>
      <c r="L123" s="14">
        <v>0.0</v>
      </c>
      <c r="M123" s="14" t="str">
        <f t="shared" ref="M123:N123" si="154">IFS(L123=1,1,F123=TODAY(),0,(AND(F123=G123,F123=TODAY())),(NOW()-TODAY()),(TODAY()-F123)/N123&gt;=1,1,(TODAY()-F123)/N123&lt;0,0,AND((TODAY()-F123)/N123&lt;1,(TODAY()-F123)/N123&gt;0),(TODAY()-F123)/N123)</f>
        <v>#REF!</v>
      </c>
      <c r="N123" s="5" t="str">
        <f t="shared" si="154"/>
        <v>#REF!</v>
      </c>
    </row>
    <row r="124" ht="15.75" hidden="1" customHeight="1" outlineLevel="2">
      <c r="A124" s="12" t="s">
        <v>222</v>
      </c>
      <c r="B124" s="5" t="s">
        <v>215</v>
      </c>
      <c r="C124" s="5" t="s">
        <v>224</v>
      </c>
      <c r="D124" s="5"/>
      <c r="E124" s="5" t="s">
        <v>96</v>
      </c>
      <c r="F124" s="13">
        <f>WORKDAY(G116,1)</f>
        <v>45035</v>
      </c>
      <c r="G124" s="13">
        <f t="shared" ref="G124:G125" si="156">WORKDAY(F124,4)</f>
        <v>45041</v>
      </c>
      <c r="H124" s="13"/>
      <c r="I124" s="13"/>
      <c r="K124" s="5" t="str">
        <f t="shared" si="3"/>
        <v>#REF!</v>
      </c>
      <c r="L124" s="14">
        <v>0.0</v>
      </c>
      <c r="M124" s="14" t="str">
        <f t="shared" ref="M124:N124" si="155">IFS(L124=1,1,F124=TODAY(),0,(AND(F124=G124,F124=TODAY())),(NOW()-TODAY()),(TODAY()-F124)/N124&gt;=1,1,(TODAY()-F124)/N124&lt;0,0,AND((TODAY()-F124)/N124&lt;1,(TODAY()-F124)/N124&gt;0),(TODAY()-F124)/N124)</f>
        <v>#REF!</v>
      </c>
      <c r="N124" s="5" t="str">
        <f t="shared" si="155"/>
        <v>#REF!</v>
      </c>
    </row>
    <row r="125" ht="15.75" hidden="1" customHeight="1" outlineLevel="2">
      <c r="A125" s="12" t="s">
        <v>222</v>
      </c>
      <c r="B125" s="5" t="s">
        <v>215</v>
      </c>
      <c r="C125" s="5" t="s">
        <v>225</v>
      </c>
      <c r="D125" s="5"/>
      <c r="E125" s="5" t="s">
        <v>96</v>
      </c>
      <c r="F125" s="13">
        <f>WORKDAY(G116,1)</f>
        <v>45035</v>
      </c>
      <c r="G125" s="13">
        <f t="shared" si="156"/>
        <v>45041</v>
      </c>
      <c r="H125" s="13"/>
      <c r="I125" s="13"/>
      <c r="K125" s="5" t="str">
        <f t="shared" si="3"/>
        <v>#REF!</v>
      </c>
      <c r="L125" s="14">
        <v>0.0</v>
      </c>
      <c r="M125" s="14" t="str">
        <f t="shared" ref="M125:N125" si="157">IFS(L125=1,1,F125=TODAY(),0,(AND(F125=G125,F125=TODAY())),(NOW()-TODAY()),(TODAY()-F125)/N125&gt;=1,1,(TODAY()-F125)/N125&lt;0,0,AND((TODAY()-F125)/N125&lt;1,(TODAY()-F125)/N125&gt;0),(TODAY()-F125)/N125)</f>
        <v>#REF!</v>
      </c>
      <c r="N125" s="5" t="str">
        <f t="shared" si="157"/>
        <v>#REF!</v>
      </c>
    </row>
    <row r="126" ht="15.75" hidden="1" customHeight="1" outlineLevel="2">
      <c r="A126" s="12" t="s">
        <v>226</v>
      </c>
      <c r="B126" s="5" t="s">
        <v>227</v>
      </c>
      <c r="C126" s="5" t="s">
        <v>228</v>
      </c>
      <c r="D126" s="5"/>
      <c r="E126" s="5" t="s">
        <v>229</v>
      </c>
      <c r="F126" s="13">
        <f>F110</f>
        <v>45036</v>
      </c>
      <c r="G126" s="13">
        <f>WORKDAY(F126,25)</f>
        <v>45071</v>
      </c>
      <c r="H126" s="13"/>
      <c r="I126" s="13"/>
      <c r="K126" s="5" t="str">
        <f t="shared" si="3"/>
        <v>#REF!</v>
      </c>
      <c r="L126" s="14">
        <v>0.0</v>
      </c>
      <c r="M126" s="14" t="str">
        <f t="shared" ref="M126:N126" si="158">IFS(L126=1,1,F126=TODAY(),0,(AND(F126=G126,F126=TODAY())),(NOW()-TODAY()),(TODAY()-F126)/N126&gt;=1,1,(TODAY()-F126)/N126&lt;0,0,AND((TODAY()-F126)/N126&lt;1,(TODAY()-F126)/N126&gt;0),(TODAY()-F126)/N126)</f>
        <v>#REF!</v>
      </c>
      <c r="N126" s="5" t="str">
        <f t="shared" si="158"/>
        <v>#REF!</v>
      </c>
    </row>
    <row r="127" ht="15.75" hidden="1" customHeight="1" outlineLevel="2">
      <c r="A127" s="12" t="s">
        <v>230</v>
      </c>
      <c r="B127" s="5" t="s">
        <v>231</v>
      </c>
      <c r="C127" s="5" t="s">
        <v>180</v>
      </c>
      <c r="D127" s="5"/>
      <c r="E127" s="5" t="s">
        <v>229</v>
      </c>
      <c r="F127" s="13">
        <f>WORKDAY(G126,-5)</f>
        <v>45064</v>
      </c>
      <c r="G127" s="13">
        <f t="shared" ref="G127:G128" si="160">WORKDAY(G126,5)</f>
        <v>45078</v>
      </c>
      <c r="H127" s="13"/>
      <c r="I127" s="13"/>
      <c r="K127" s="5" t="str">
        <f t="shared" si="3"/>
        <v>#REF!</v>
      </c>
      <c r="L127" s="14">
        <v>0.0</v>
      </c>
      <c r="M127" s="14" t="str">
        <f t="shared" ref="M127:N127" si="159">IFS(L127=1,1,F127=TODAY(),0,(AND(F127=G127,F127=TODAY())),(NOW()-TODAY()),(TODAY()-F127)/N127&gt;=1,1,(TODAY()-F127)/N127&lt;0,0,AND((TODAY()-F127)/N127&lt;1,(TODAY()-F127)/N127&gt;0),(TODAY()-F127)/N127)</f>
        <v>#REF!</v>
      </c>
      <c r="N127" s="5" t="str">
        <f t="shared" si="159"/>
        <v>#REF!</v>
      </c>
    </row>
    <row r="128" ht="15.75" hidden="1" customHeight="1" outlineLevel="2">
      <c r="A128" s="12" t="s">
        <v>232</v>
      </c>
      <c r="B128" s="5" t="s">
        <v>231</v>
      </c>
      <c r="C128" s="5" t="s">
        <v>233</v>
      </c>
      <c r="D128" s="5"/>
      <c r="E128" s="5" t="s">
        <v>229</v>
      </c>
      <c r="F128" s="13">
        <f>WORKDAY(G127,1)</f>
        <v>45079</v>
      </c>
      <c r="G128" s="13">
        <f t="shared" si="160"/>
        <v>45085</v>
      </c>
      <c r="H128" s="13"/>
      <c r="I128" s="13"/>
      <c r="K128" s="5" t="str">
        <f t="shared" si="3"/>
        <v>#REF!</v>
      </c>
      <c r="L128" s="14">
        <v>0.0</v>
      </c>
      <c r="M128" s="14" t="str">
        <f t="shared" ref="M128:N128" si="161">IFS(L128=1,1,F128=TODAY(),0,(AND(F128=G128,F128=TODAY())),(NOW()-TODAY()),(TODAY()-F128)/N128&gt;=1,1,(TODAY()-F128)/N128&lt;0,0,AND((TODAY()-F128)/N128&lt;1,(TODAY()-F128)/N128&gt;0),(TODAY()-F128)/N128)</f>
        <v>#REF!</v>
      </c>
      <c r="N128" s="5" t="str">
        <f t="shared" si="161"/>
        <v>#REF!</v>
      </c>
    </row>
    <row r="129" ht="15.75" hidden="1" customHeight="1" outlineLevel="1">
      <c r="A129" s="23" t="s">
        <v>234</v>
      </c>
      <c r="B129" s="5" t="s">
        <v>182</v>
      </c>
      <c r="C129" s="24"/>
      <c r="D129" s="24"/>
      <c r="E129" s="24"/>
      <c r="F129" s="25">
        <f>MIN(F130:F135)</f>
        <v>45082</v>
      </c>
      <c r="G129" s="25">
        <f>MAX(G130:G135)</f>
        <v>45094</v>
      </c>
      <c r="H129" s="25"/>
      <c r="I129" s="25"/>
      <c r="J129" s="24"/>
      <c r="K129" s="24" t="str">
        <f t="shared" si="3"/>
        <v>#REF!</v>
      </c>
      <c r="L129" s="26">
        <f t="shared" ref="L129:M129" si="162">AVERAGE(L130:L135)</f>
        <v>0</v>
      </c>
      <c r="M129" s="26" t="str">
        <f t="shared" si="162"/>
        <v>#REF!</v>
      </c>
      <c r="N129" s="24" t="str">
        <f>IFS(M129=1,1,G129=TODAY(),0,(AND(G129=H129,G129=TODAY())),(NOW()-TODAY()),(TODAY()-G129)/O129&gt;=1,1,(TODAY()-G129)/O129&lt;0,0,AND((TODAY()-G129)/O129&lt;1,(TODAY()-G129)/O129&gt;0),(TODAY()-G129)/O129)</f>
        <v>#REF!</v>
      </c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ht="15.75" hidden="1" customHeight="1" outlineLevel="2">
      <c r="A130" s="12" t="s">
        <v>235</v>
      </c>
      <c r="B130" s="5" t="s">
        <v>182</v>
      </c>
      <c r="C130" s="5" t="s">
        <v>184</v>
      </c>
      <c r="D130" s="5"/>
      <c r="E130" s="5" t="s">
        <v>96</v>
      </c>
      <c r="F130" s="13">
        <f>WORKDAY(G128,4)</f>
        <v>45091</v>
      </c>
      <c r="G130" s="13">
        <f>F130</f>
        <v>45091</v>
      </c>
      <c r="H130" s="13"/>
      <c r="I130" s="13"/>
      <c r="K130" s="5" t="str">
        <f t="shared" si="3"/>
        <v>#REF!</v>
      </c>
      <c r="L130" s="14">
        <v>0.0</v>
      </c>
      <c r="M130" s="14" t="str">
        <f t="shared" ref="M130:N130" si="163">IFS(L130=1,1,F130=TODAY(),0,(AND(F130=G130,F130=TODAY())),(NOW()-TODAY()),(TODAY()-F130)/N130&gt;=1,1,(TODAY()-F130)/N130&lt;0,0,AND((TODAY()-F130)/N130&lt;1,(TODAY()-F130)/N130&gt;0),(TODAY()-F130)/N130)</f>
        <v>#REF!</v>
      </c>
      <c r="N130" s="5" t="str">
        <f t="shared" si="163"/>
        <v>#REF!</v>
      </c>
    </row>
    <row r="131" ht="15.75" hidden="1" customHeight="1" outlineLevel="2">
      <c r="A131" s="12" t="s">
        <v>235</v>
      </c>
      <c r="B131" s="5" t="s">
        <v>182</v>
      </c>
      <c r="C131" s="5" t="s">
        <v>224</v>
      </c>
      <c r="D131" s="5"/>
      <c r="E131" s="5" t="s">
        <v>96</v>
      </c>
      <c r="F131" s="13">
        <f>WORKDAY(G130,-7)</f>
        <v>45082</v>
      </c>
      <c r="G131" s="13">
        <f>WORKDAY(F131,8)</f>
        <v>45092</v>
      </c>
      <c r="H131" s="13"/>
      <c r="I131" s="13"/>
      <c r="K131" s="5" t="str">
        <f t="shared" si="3"/>
        <v>#REF!</v>
      </c>
      <c r="L131" s="14">
        <v>0.0</v>
      </c>
      <c r="M131" s="14" t="str">
        <f t="shared" ref="M131:N131" si="164">IFS(L131=1,1,F131=TODAY(),0,(AND(F131=G131,F131=TODAY())),(NOW()-TODAY()),(TODAY()-F131)/N131&gt;=1,1,(TODAY()-F131)/N131&lt;0,0,AND((TODAY()-F131)/N131&lt;1,(TODAY()-F131)/N131&gt;0),(TODAY()-F131)/N131)</f>
        <v>#REF!</v>
      </c>
      <c r="N131" s="5" t="str">
        <f t="shared" si="164"/>
        <v>#REF!</v>
      </c>
    </row>
    <row r="132" ht="15.75" hidden="1" customHeight="1" outlineLevel="2">
      <c r="A132" s="12" t="s">
        <v>235</v>
      </c>
      <c r="B132" s="5" t="s">
        <v>182</v>
      </c>
      <c r="C132" s="5" t="s">
        <v>236</v>
      </c>
      <c r="D132" s="5"/>
      <c r="E132" s="5" t="s">
        <v>96</v>
      </c>
      <c r="F132" s="13">
        <f>G130+3</f>
        <v>45094</v>
      </c>
      <c r="G132" s="13">
        <f>F132</f>
        <v>45094</v>
      </c>
      <c r="H132" s="13"/>
      <c r="I132" s="13"/>
      <c r="K132" s="5" t="str">
        <f t="shared" si="3"/>
        <v>#REF!</v>
      </c>
      <c r="L132" s="14">
        <v>0.0</v>
      </c>
      <c r="M132" s="14" t="str">
        <f t="shared" ref="M132:N132" si="165">IFS(L132=1,1,F132=TODAY(),0,(AND(F132=G132,F132=TODAY())),(NOW()-TODAY()),(TODAY()-F132)/N132&gt;=1,1,(TODAY()-F132)/N132&lt;0,0,AND((TODAY()-F132)/N132&lt;1,(TODAY()-F132)/N132&gt;0),(TODAY()-F132)/N132)</f>
        <v>#REF!</v>
      </c>
      <c r="N132" s="5" t="str">
        <f t="shared" si="165"/>
        <v>#REF!</v>
      </c>
    </row>
    <row r="133" ht="15.75" hidden="1" customHeight="1" outlineLevel="2">
      <c r="A133" s="12" t="s">
        <v>235</v>
      </c>
      <c r="B133" s="5" t="s">
        <v>182</v>
      </c>
      <c r="C133" s="5" t="s">
        <v>237</v>
      </c>
      <c r="D133" s="5"/>
      <c r="E133" s="5" t="s">
        <v>138</v>
      </c>
      <c r="F133" s="13">
        <f t="shared" ref="F133:G133" si="166">F131</f>
        <v>45082</v>
      </c>
      <c r="G133" s="13">
        <f t="shared" si="166"/>
        <v>45092</v>
      </c>
      <c r="H133" s="13"/>
      <c r="I133" s="13"/>
      <c r="K133" s="5" t="str">
        <f t="shared" si="3"/>
        <v>#REF!</v>
      </c>
      <c r="L133" s="14">
        <v>0.0</v>
      </c>
      <c r="M133" s="14" t="str">
        <f t="shared" ref="M133:N133" si="167">IFS(L133=1,1,F133=TODAY(),0,(AND(F133=G133,F133=TODAY())),(NOW()-TODAY()),(TODAY()-F133)/N133&gt;=1,1,(TODAY()-F133)/N133&lt;0,0,AND((TODAY()-F133)/N133&lt;1,(TODAY()-F133)/N133&gt;0),(TODAY()-F133)/N133)</f>
        <v>#REF!</v>
      </c>
      <c r="N133" s="5" t="str">
        <f t="shared" si="167"/>
        <v>#REF!</v>
      </c>
    </row>
    <row r="134" ht="15.75" hidden="1" customHeight="1" outlineLevel="2">
      <c r="A134" s="12" t="s">
        <v>238</v>
      </c>
      <c r="B134" s="5" t="s">
        <v>182</v>
      </c>
      <c r="C134" s="5" t="s">
        <v>239</v>
      </c>
      <c r="D134" s="5"/>
      <c r="E134" s="5" t="s">
        <v>138</v>
      </c>
      <c r="F134" s="13">
        <f t="shared" ref="F134:G134" si="168">F131</f>
        <v>45082</v>
      </c>
      <c r="G134" s="13">
        <f t="shared" si="168"/>
        <v>45092</v>
      </c>
      <c r="H134" s="13"/>
      <c r="I134" s="13"/>
      <c r="K134" s="5" t="str">
        <f t="shared" si="3"/>
        <v>#REF!</v>
      </c>
      <c r="L134" s="14">
        <v>0.0</v>
      </c>
      <c r="M134" s="14" t="str">
        <f t="shared" ref="M134:N134" si="169">IFS(L134=1,1,F134=TODAY(),0,(AND(F134=G134,F134=TODAY())),(NOW()-TODAY()),(TODAY()-F134)/N134&gt;=1,1,(TODAY()-F134)/N134&lt;0,0,AND((TODAY()-F134)/N134&lt;1,(TODAY()-F134)/N134&gt;0),(TODAY()-F134)/N134)</f>
        <v>#REF!</v>
      </c>
      <c r="N134" s="5" t="str">
        <f t="shared" si="169"/>
        <v>#REF!</v>
      </c>
    </row>
    <row r="135" ht="15.75" hidden="1" customHeight="1" outlineLevel="2">
      <c r="A135" s="12" t="s">
        <v>240</v>
      </c>
      <c r="B135" s="5" t="s">
        <v>182</v>
      </c>
      <c r="C135" s="5" t="s">
        <v>186</v>
      </c>
      <c r="D135" s="5" t="s">
        <v>83</v>
      </c>
      <c r="E135" s="5" t="s">
        <v>241</v>
      </c>
      <c r="F135" s="13">
        <f t="shared" ref="F135:G135" si="170">F132</f>
        <v>45094</v>
      </c>
      <c r="G135" s="13">
        <f t="shared" si="170"/>
        <v>45094</v>
      </c>
      <c r="H135" s="13"/>
      <c r="I135" s="13"/>
      <c r="K135" s="5" t="str">
        <f t="shared" si="3"/>
        <v>#REF!</v>
      </c>
      <c r="L135" s="14">
        <v>0.0</v>
      </c>
      <c r="M135" s="14" t="str">
        <f t="shared" ref="M135:N135" si="171">IFS(L135=1,1,F135=TODAY(),0,(AND(F135=G135,F135=TODAY())),(NOW()-TODAY()),(TODAY()-F135)/N135&gt;=1,1,(TODAY()-F135)/N135&lt;0,0,AND((TODAY()-F135)/N135&lt;1,(TODAY()-F135)/N135&gt;0),(TODAY()-F135)/N135)</f>
        <v>#REF!</v>
      </c>
      <c r="N135" s="5" t="str">
        <f t="shared" si="171"/>
        <v>#REF!</v>
      </c>
    </row>
    <row r="136" ht="15.75" hidden="1" customHeight="1" outlineLevel="1">
      <c r="A136" s="23" t="s">
        <v>242</v>
      </c>
      <c r="B136" s="24" t="s">
        <v>243</v>
      </c>
      <c r="C136" s="24"/>
      <c r="D136" s="24"/>
      <c r="E136" s="24"/>
      <c r="F136" s="25" t="str">
        <f>MIN(F137:F141)</f>
        <v>#REF!</v>
      </c>
      <c r="G136" s="25" t="str">
        <f>MAX(G137:G141)</f>
        <v>#REF!</v>
      </c>
      <c r="H136" s="25"/>
      <c r="I136" s="25"/>
      <c r="J136" s="24"/>
      <c r="K136" s="24" t="str">
        <f t="shared" ref="K136:K189" si="173">IFS(L136=100%,"Finalizada",AND(L136=0,M136=0),"Sin Iniciar",L136&gt;=M136,"A Tiempo",AND((L136&lt;M136),(TODAY()&gt;G136)),"Impactada",AND((L136&lt;M136),(TODAY()&lt;=G136)),"Atrasada")</f>
        <v>#REF!</v>
      </c>
      <c r="L136" s="26">
        <f t="shared" ref="L136:M136" si="172">AVERAGE(L137:L141)</f>
        <v>0</v>
      </c>
      <c r="M136" s="26" t="str">
        <f t="shared" si="172"/>
        <v>#REF!</v>
      </c>
      <c r="N136" s="24" t="str">
        <f t="shared" ref="N136:N189" si="174">IF(G136-F136&gt;0,G136-F136,G136-F136+1)</f>
        <v>#REF!</v>
      </c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ht="15.75" hidden="1" customHeight="1" outlineLevel="2">
      <c r="A137" s="12" t="s">
        <v>244</v>
      </c>
      <c r="B137" s="5" t="s">
        <v>245</v>
      </c>
      <c r="C137" s="5" t="s">
        <v>246</v>
      </c>
      <c r="D137" s="5" t="s">
        <v>17</v>
      </c>
      <c r="E137" s="5" t="s">
        <v>15</v>
      </c>
      <c r="F137" s="13" t="str">
        <f>WORKDAY(#REF!,8)</f>
        <v>#REF!</v>
      </c>
      <c r="G137" s="13" t="str">
        <f>WORKDAY(F137,10)</f>
        <v>#REF!</v>
      </c>
      <c r="H137" s="13"/>
      <c r="I137" s="13"/>
      <c r="K137" s="5" t="str">
        <f t="shared" si="173"/>
        <v>#REF!</v>
      </c>
      <c r="L137" s="14">
        <v>0.0</v>
      </c>
      <c r="M137" s="14" t="str">
        <f t="shared" ref="M137:M141" si="175">IFS(L137=1,1,F137=TODAY(),0,(AND(F137=G137,F137=TODAY())),(NOW()-TODAY()),(TODAY()-F137)/N137&gt;=1,1,(TODAY()-F137)/N137&lt;0,0,AND((TODAY()-F137)/N137&lt;1,(TODAY()-F137)/N137&gt;0),(TODAY()-F137)/N137)</f>
        <v>#REF!</v>
      </c>
      <c r="N137" s="5" t="str">
        <f t="shared" si="174"/>
        <v>#REF!</v>
      </c>
    </row>
    <row r="138" ht="15.75" hidden="1" customHeight="1" outlineLevel="2">
      <c r="A138" s="12" t="s">
        <v>247</v>
      </c>
      <c r="B138" s="5" t="s">
        <v>245</v>
      </c>
      <c r="C138" s="5" t="s">
        <v>248</v>
      </c>
      <c r="D138" s="5" t="s">
        <v>249</v>
      </c>
      <c r="E138" s="5" t="s">
        <v>15</v>
      </c>
      <c r="F138" s="13" t="str">
        <f>WORKDAY(G137,-5)</f>
        <v>#REF!</v>
      </c>
      <c r="G138" s="13" t="str">
        <f>WORKDAY(G137,5)</f>
        <v>#REF!</v>
      </c>
      <c r="H138" s="13"/>
      <c r="I138" s="13"/>
      <c r="K138" s="5" t="str">
        <f t="shared" si="173"/>
        <v>#REF!</v>
      </c>
      <c r="L138" s="14">
        <v>0.0</v>
      </c>
      <c r="M138" s="14" t="str">
        <f t="shared" si="175"/>
        <v>#REF!</v>
      </c>
      <c r="N138" s="5" t="str">
        <f t="shared" si="174"/>
        <v>#REF!</v>
      </c>
    </row>
    <row r="139" ht="15.75" hidden="1" customHeight="1" outlineLevel="2">
      <c r="A139" s="12" t="s">
        <v>250</v>
      </c>
      <c r="B139" s="5" t="s">
        <v>245</v>
      </c>
      <c r="C139" s="5" t="s">
        <v>251</v>
      </c>
      <c r="D139" s="5" t="s">
        <v>17</v>
      </c>
      <c r="E139" s="5" t="s">
        <v>15</v>
      </c>
      <c r="F139" s="13" t="str">
        <f>WORKDAY(G137,2)</f>
        <v>#REF!</v>
      </c>
      <c r="G139" s="13" t="str">
        <f>WORKDAY(F139,10)</f>
        <v>#REF!</v>
      </c>
      <c r="H139" s="13"/>
      <c r="I139" s="13"/>
      <c r="K139" s="5" t="str">
        <f t="shared" si="173"/>
        <v>#REF!</v>
      </c>
      <c r="L139" s="14">
        <v>0.0</v>
      </c>
      <c r="M139" s="14" t="str">
        <f t="shared" si="175"/>
        <v>#REF!</v>
      </c>
      <c r="N139" s="5" t="str">
        <f t="shared" si="174"/>
        <v>#REF!</v>
      </c>
    </row>
    <row r="140" ht="15.75" hidden="1" customHeight="1" outlineLevel="2">
      <c r="A140" s="12" t="s">
        <v>252</v>
      </c>
      <c r="B140" s="5" t="s">
        <v>245</v>
      </c>
      <c r="C140" s="5" t="s">
        <v>253</v>
      </c>
      <c r="D140" s="5" t="s">
        <v>249</v>
      </c>
      <c r="E140" s="5" t="s">
        <v>15</v>
      </c>
      <c r="F140" s="13" t="str">
        <f>WORKDAY(G139,-5)</f>
        <v>#REF!</v>
      </c>
      <c r="G140" s="13" t="str">
        <f>WORKDAY(G139,5)</f>
        <v>#REF!</v>
      </c>
      <c r="H140" s="13"/>
      <c r="I140" s="13"/>
      <c r="K140" s="5" t="str">
        <f t="shared" si="173"/>
        <v>#REF!</v>
      </c>
      <c r="L140" s="14">
        <v>0.0</v>
      </c>
      <c r="M140" s="14" t="str">
        <f t="shared" si="175"/>
        <v>#REF!</v>
      </c>
      <c r="N140" s="5" t="str">
        <f t="shared" si="174"/>
        <v>#REF!</v>
      </c>
    </row>
    <row r="141" ht="15.75" hidden="1" customHeight="1" outlineLevel="2">
      <c r="A141" s="12" t="s">
        <v>254</v>
      </c>
      <c r="B141" s="5" t="s">
        <v>245</v>
      </c>
      <c r="C141" s="5" t="s">
        <v>255</v>
      </c>
      <c r="D141" s="5" t="s">
        <v>17</v>
      </c>
      <c r="E141" s="5" t="s">
        <v>15</v>
      </c>
      <c r="F141" s="13" t="str">
        <f>WORKDAY(G140,1)</f>
        <v>#REF!</v>
      </c>
      <c r="G141" s="13" t="str">
        <f>WORKDAY(F141,2)</f>
        <v>#REF!</v>
      </c>
      <c r="H141" s="13"/>
      <c r="I141" s="13"/>
      <c r="K141" s="5" t="str">
        <f t="shared" si="173"/>
        <v>#REF!</v>
      </c>
      <c r="L141" s="14">
        <v>0.0</v>
      </c>
      <c r="M141" s="14" t="str">
        <f t="shared" si="175"/>
        <v>#REF!</v>
      </c>
      <c r="N141" s="5" t="str">
        <f t="shared" si="174"/>
        <v>#REF!</v>
      </c>
    </row>
    <row r="142" ht="15.75" hidden="1" customHeight="1" outlineLevel="1">
      <c r="A142" s="23" t="s">
        <v>256</v>
      </c>
      <c r="B142" s="24" t="s">
        <v>176</v>
      </c>
      <c r="C142" s="24"/>
      <c r="D142" s="24"/>
      <c r="E142" s="24"/>
      <c r="F142" s="25" t="str">
        <f>MIN(F143:F159)</f>
        <v>#REF!</v>
      </c>
      <c r="G142" s="25" t="str">
        <f>MAX(G143:G159)</f>
        <v>#REF!</v>
      </c>
      <c r="H142" s="25"/>
      <c r="I142" s="25"/>
      <c r="J142" s="24"/>
      <c r="K142" s="24" t="str">
        <f t="shared" si="173"/>
        <v>#REF!</v>
      </c>
      <c r="L142" s="26">
        <f t="shared" ref="L142:M142" si="176">AVERAGE(L143:L159)</f>
        <v>0</v>
      </c>
      <c r="M142" s="26" t="str">
        <f t="shared" si="176"/>
        <v>#REF!</v>
      </c>
      <c r="N142" s="24" t="str">
        <f t="shared" si="174"/>
        <v>#REF!</v>
      </c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ht="15.75" hidden="1" customHeight="1" outlineLevel="2">
      <c r="A143" s="12" t="s">
        <v>257</v>
      </c>
      <c r="B143" s="5" t="s">
        <v>258</v>
      </c>
      <c r="C143" s="5" t="s">
        <v>259</v>
      </c>
      <c r="D143" s="5" t="s">
        <v>260</v>
      </c>
      <c r="E143" s="5" t="s">
        <v>138</v>
      </c>
      <c r="F143" s="13" t="str">
        <f>WORKDAY(G136,1)</f>
        <v>#REF!</v>
      </c>
      <c r="G143" s="13" t="str">
        <f t="shared" ref="G143:G146" si="177">WORKDAY(F143,3)</f>
        <v>#REF!</v>
      </c>
      <c r="H143" s="13"/>
      <c r="I143" s="13"/>
      <c r="K143" s="5" t="str">
        <f t="shared" si="173"/>
        <v>#REF!</v>
      </c>
      <c r="L143" s="14">
        <v>0.0</v>
      </c>
      <c r="M143" s="14" t="str">
        <f t="shared" ref="M143:M159" si="178">IFS(L143=1,1,F143=TODAY(),0,(AND(F143=G143,F143=TODAY())),(NOW()-TODAY()),(TODAY()-F143)/N143&gt;=1,1,(TODAY()-F143)/N143&lt;0,0,AND((TODAY()-F143)/N143&lt;1,(TODAY()-F143)/N143&gt;0),(TODAY()-F143)/N143)</f>
        <v>#REF!</v>
      </c>
      <c r="N143" s="5" t="str">
        <f t="shared" si="174"/>
        <v>#REF!</v>
      </c>
    </row>
    <row r="144" ht="15.75" hidden="1" customHeight="1" outlineLevel="2">
      <c r="A144" s="12" t="s">
        <v>261</v>
      </c>
      <c r="B144" s="5" t="s">
        <v>258</v>
      </c>
      <c r="C144" s="5" t="s">
        <v>262</v>
      </c>
      <c r="D144" s="5" t="s">
        <v>263</v>
      </c>
      <c r="E144" s="5" t="s">
        <v>264</v>
      </c>
      <c r="F144" s="13" t="str">
        <f>F143</f>
        <v>#REF!</v>
      </c>
      <c r="G144" s="13" t="str">
        <f t="shared" si="177"/>
        <v>#REF!</v>
      </c>
      <c r="H144" s="13"/>
      <c r="I144" s="13"/>
      <c r="K144" s="5" t="str">
        <f t="shared" si="173"/>
        <v>#REF!</v>
      </c>
      <c r="L144" s="14">
        <v>0.0</v>
      </c>
      <c r="M144" s="14" t="str">
        <f t="shared" si="178"/>
        <v>#REF!</v>
      </c>
      <c r="N144" s="5" t="str">
        <f t="shared" si="174"/>
        <v>#REF!</v>
      </c>
    </row>
    <row r="145" ht="15.75" hidden="1" customHeight="1" outlineLevel="2">
      <c r="A145" s="12" t="s">
        <v>265</v>
      </c>
      <c r="B145" s="5" t="s">
        <v>258</v>
      </c>
      <c r="C145" s="5" t="s">
        <v>266</v>
      </c>
      <c r="D145" s="5" t="s">
        <v>263</v>
      </c>
      <c r="E145" s="5" t="s">
        <v>264</v>
      </c>
      <c r="F145" s="13" t="str">
        <f>F143</f>
        <v>#REF!</v>
      </c>
      <c r="G145" s="13" t="str">
        <f t="shared" si="177"/>
        <v>#REF!</v>
      </c>
      <c r="H145" s="13"/>
      <c r="I145" s="13"/>
      <c r="K145" s="5" t="str">
        <f t="shared" si="173"/>
        <v>#REF!</v>
      </c>
      <c r="L145" s="14">
        <v>0.0</v>
      </c>
      <c r="M145" s="14" t="str">
        <f t="shared" si="178"/>
        <v>#REF!</v>
      </c>
      <c r="N145" s="5" t="str">
        <f t="shared" si="174"/>
        <v>#REF!</v>
      </c>
    </row>
    <row r="146" ht="15.75" hidden="1" customHeight="1" outlineLevel="2">
      <c r="A146" s="12" t="s">
        <v>267</v>
      </c>
      <c r="B146" s="5" t="s">
        <v>258</v>
      </c>
      <c r="C146" s="5" t="s">
        <v>268</v>
      </c>
      <c r="D146" s="5" t="s">
        <v>263</v>
      </c>
      <c r="E146" s="5" t="s">
        <v>264</v>
      </c>
      <c r="F146" s="13" t="str">
        <f>F143</f>
        <v>#REF!</v>
      </c>
      <c r="G146" s="13" t="str">
        <f t="shared" si="177"/>
        <v>#REF!</v>
      </c>
      <c r="H146" s="13"/>
      <c r="I146" s="13"/>
      <c r="K146" s="5" t="str">
        <f t="shared" si="173"/>
        <v>#REF!</v>
      </c>
      <c r="L146" s="14">
        <v>0.0</v>
      </c>
      <c r="M146" s="14" t="str">
        <f t="shared" si="178"/>
        <v>#REF!</v>
      </c>
      <c r="N146" s="5" t="str">
        <f t="shared" si="174"/>
        <v>#REF!</v>
      </c>
    </row>
    <row r="147" ht="15.75" hidden="1" customHeight="1" outlineLevel="2">
      <c r="A147" s="12" t="s">
        <v>269</v>
      </c>
      <c r="B147" s="5" t="s">
        <v>258</v>
      </c>
      <c r="C147" s="5" t="s">
        <v>270</v>
      </c>
      <c r="D147" s="5" t="s">
        <v>260</v>
      </c>
      <c r="E147" s="5" t="s">
        <v>138</v>
      </c>
      <c r="F147" s="13" t="str">
        <f>WORKDAY(G143,1)</f>
        <v>#REF!</v>
      </c>
      <c r="G147" s="13" t="str">
        <f>WORKDAY(F147,2)</f>
        <v>#REF!</v>
      </c>
      <c r="H147" s="13"/>
      <c r="I147" s="13"/>
      <c r="K147" s="5" t="str">
        <f t="shared" si="173"/>
        <v>#REF!</v>
      </c>
      <c r="L147" s="14">
        <v>0.0</v>
      </c>
      <c r="M147" s="14" t="str">
        <f t="shared" si="178"/>
        <v>#REF!</v>
      </c>
      <c r="N147" s="5" t="str">
        <f t="shared" si="174"/>
        <v>#REF!</v>
      </c>
    </row>
    <row r="148" ht="15.75" hidden="1" customHeight="1" outlineLevel="2">
      <c r="A148" s="12" t="s">
        <v>271</v>
      </c>
      <c r="B148" s="5" t="s">
        <v>258</v>
      </c>
      <c r="C148" s="5" t="s">
        <v>272</v>
      </c>
      <c r="D148" s="5" t="s">
        <v>260</v>
      </c>
      <c r="E148" s="5" t="s">
        <v>138</v>
      </c>
      <c r="F148" s="13" t="str">
        <f t="shared" ref="F148:F150" si="179">F147</f>
        <v>#REF!</v>
      </c>
      <c r="G148" s="13" t="str">
        <f t="shared" ref="G148:G150" si="180">WORKDAY(F148,3)</f>
        <v>#REF!</v>
      </c>
      <c r="H148" s="13"/>
      <c r="I148" s="13"/>
      <c r="K148" s="5" t="str">
        <f t="shared" si="173"/>
        <v>#REF!</v>
      </c>
      <c r="L148" s="14">
        <v>0.0</v>
      </c>
      <c r="M148" s="14" t="str">
        <f t="shared" si="178"/>
        <v>#REF!</v>
      </c>
      <c r="N148" s="5" t="str">
        <f t="shared" si="174"/>
        <v>#REF!</v>
      </c>
    </row>
    <row r="149" ht="15.75" hidden="1" customHeight="1" outlineLevel="2">
      <c r="A149" s="12" t="s">
        <v>273</v>
      </c>
      <c r="B149" s="5" t="s">
        <v>258</v>
      </c>
      <c r="C149" s="5" t="s">
        <v>274</v>
      </c>
      <c r="D149" s="5" t="s">
        <v>260</v>
      </c>
      <c r="E149" s="5" t="s">
        <v>138</v>
      </c>
      <c r="F149" s="13" t="str">
        <f t="shared" si="179"/>
        <v>#REF!</v>
      </c>
      <c r="G149" s="13" t="str">
        <f t="shared" si="180"/>
        <v>#REF!</v>
      </c>
      <c r="H149" s="13"/>
      <c r="I149" s="13"/>
      <c r="K149" s="5" t="str">
        <f t="shared" si="173"/>
        <v>#REF!</v>
      </c>
      <c r="L149" s="14">
        <v>0.0</v>
      </c>
      <c r="M149" s="14" t="str">
        <f t="shared" si="178"/>
        <v>#REF!</v>
      </c>
      <c r="N149" s="5" t="str">
        <f t="shared" si="174"/>
        <v>#REF!</v>
      </c>
    </row>
    <row r="150" ht="15.75" hidden="1" customHeight="1" outlineLevel="2">
      <c r="A150" s="12" t="s">
        <v>275</v>
      </c>
      <c r="B150" s="5" t="s">
        <v>258</v>
      </c>
      <c r="C150" s="5" t="s">
        <v>276</v>
      </c>
      <c r="D150" s="5" t="s">
        <v>260</v>
      </c>
      <c r="E150" s="5" t="s">
        <v>138</v>
      </c>
      <c r="F150" s="13" t="str">
        <f t="shared" si="179"/>
        <v>#REF!</v>
      </c>
      <c r="G150" s="13" t="str">
        <f t="shared" si="180"/>
        <v>#REF!</v>
      </c>
      <c r="H150" s="13"/>
      <c r="I150" s="13"/>
      <c r="K150" s="5" t="str">
        <f t="shared" si="173"/>
        <v>#REF!</v>
      </c>
      <c r="L150" s="14">
        <v>0.0</v>
      </c>
      <c r="M150" s="14" t="str">
        <f t="shared" si="178"/>
        <v>#REF!</v>
      </c>
      <c r="N150" s="5" t="str">
        <f t="shared" si="174"/>
        <v>#REF!</v>
      </c>
    </row>
    <row r="151" ht="15.75" hidden="1" customHeight="1" outlineLevel="2">
      <c r="A151" s="12" t="s">
        <v>277</v>
      </c>
      <c r="B151" s="5" t="s">
        <v>258</v>
      </c>
      <c r="C151" s="5" t="s">
        <v>278</v>
      </c>
      <c r="D151" s="5" t="s">
        <v>279</v>
      </c>
      <c r="E151" s="5" t="s">
        <v>138</v>
      </c>
      <c r="F151" s="13" t="str">
        <f>F143</f>
        <v>#REF!</v>
      </c>
      <c r="G151" s="13" t="str">
        <f>WORKDAY(F151,4)</f>
        <v>#REF!</v>
      </c>
      <c r="H151" s="13"/>
      <c r="I151" s="13"/>
      <c r="K151" s="5" t="str">
        <f t="shared" si="173"/>
        <v>#REF!</v>
      </c>
      <c r="L151" s="14">
        <v>0.0</v>
      </c>
      <c r="M151" s="14" t="str">
        <f t="shared" si="178"/>
        <v>#REF!</v>
      </c>
      <c r="N151" s="5" t="str">
        <f t="shared" si="174"/>
        <v>#REF!</v>
      </c>
    </row>
    <row r="152" ht="15.75" hidden="1" customHeight="1" outlineLevel="2">
      <c r="A152" s="12" t="s">
        <v>280</v>
      </c>
      <c r="B152" s="5" t="s">
        <v>258</v>
      </c>
      <c r="C152" s="5" t="s">
        <v>281</v>
      </c>
      <c r="D152" s="5" t="s">
        <v>279</v>
      </c>
      <c r="E152" s="5" t="s">
        <v>138</v>
      </c>
      <c r="F152" s="13" t="str">
        <f>WORKDAY(G151,1)</f>
        <v>#REF!</v>
      </c>
      <c r="G152" s="13" t="str">
        <f>WORKDAY(F152,2)</f>
        <v>#REF!</v>
      </c>
      <c r="H152" s="13"/>
      <c r="I152" s="13"/>
      <c r="K152" s="5" t="str">
        <f t="shared" si="173"/>
        <v>#REF!</v>
      </c>
      <c r="L152" s="14">
        <v>0.0</v>
      </c>
      <c r="M152" s="14" t="str">
        <f t="shared" si="178"/>
        <v>#REF!</v>
      </c>
      <c r="N152" s="5" t="str">
        <f t="shared" si="174"/>
        <v>#REF!</v>
      </c>
    </row>
    <row r="153" ht="15.75" hidden="1" customHeight="1" outlineLevel="2">
      <c r="A153" s="12" t="s">
        <v>282</v>
      </c>
      <c r="B153" s="5" t="s">
        <v>258</v>
      </c>
      <c r="C153" s="5" t="s">
        <v>283</v>
      </c>
      <c r="D153" s="5" t="s">
        <v>279</v>
      </c>
      <c r="E153" s="5" t="s">
        <v>138</v>
      </c>
      <c r="F153" s="13" t="str">
        <f t="shared" ref="F153:F155" si="181">F151</f>
        <v>#REF!</v>
      </c>
      <c r="G153" s="13" t="str">
        <f>WORKDAY(F153,4)</f>
        <v>#REF!</v>
      </c>
      <c r="H153" s="13"/>
      <c r="I153" s="13"/>
      <c r="K153" s="5" t="str">
        <f t="shared" si="173"/>
        <v>#REF!</v>
      </c>
      <c r="L153" s="14">
        <v>0.0</v>
      </c>
      <c r="M153" s="14" t="str">
        <f t="shared" si="178"/>
        <v>#REF!</v>
      </c>
      <c r="N153" s="5" t="str">
        <f t="shared" si="174"/>
        <v>#REF!</v>
      </c>
    </row>
    <row r="154" ht="15.75" hidden="1" customHeight="1" outlineLevel="2">
      <c r="A154" s="12" t="s">
        <v>284</v>
      </c>
      <c r="B154" s="5" t="s">
        <v>258</v>
      </c>
      <c r="C154" s="5" t="s">
        <v>285</v>
      </c>
      <c r="D154" s="5" t="s">
        <v>279</v>
      </c>
      <c r="E154" s="5" t="s">
        <v>138</v>
      </c>
      <c r="F154" s="13" t="str">
        <f t="shared" si="181"/>
        <v>#REF!</v>
      </c>
      <c r="G154" s="13" t="str">
        <f>WORKDAY(F154,2)</f>
        <v>#REF!</v>
      </c>
      <c r="H154" s="13"/>
      <c r="I154" s="13"/>
      <c r="K154" s="5" t="str">
        <f t="shared" si="173"/>
        <v>#REF!</v>
      </c>
      <c r="L154" s="14">
        <v>0.0</v>
      </c>
      <c r="M154" s="14" t="str">
        <f t="shared" si="178"/>
        <v>#REF!</v>
      </c>
      <c r="N154" s="5" t="str">
        <f t="shared" si="174"/>
        <v>#REF!</v>
      </c>
    </row>
    <row r="155" ht="15.75" hidden="1" customHeight="1" outlineLevel="2">
      <c r="A155" s="12" t="s">
        <v>286</v>
      </c>
      <c r="B155" s="5" t="s">
        <v>258</v>
      </c>
      <c r="C155" s="5" t="s">
        <v>287</v>
      </c>
      <c r="D155" s="5" t="s">
        <v>279</v>
      </c>
      <c r="E155" s="5" t="s">
        <v>138</v>
      </c>
      <c r="F155" s="13" t="str">
        <f t="shared" si="181"/>
        <v>#REF!</v>
      </c>
      <c r="G155" s="13" t="str">
        <f>WORKDAY(F155,5)</f>
        <v>#REF!</v>
      </c>
      <c r="H155" s="13"/>
      <c r="I155" s="13"/>
      <c r="K155" s="5" t="str">
        <f t="shared" si="173"/>
        <v>#REF!</v>
      </c>
      <c r="L155" s="14">
        <v>0.0</v>
      </c>
      <c r="M155" s="14" t="str">
        <f t="shared" si="178"/>
        <v>#REF!</v>
      </c>
      <c r="N155" s="5" t="str">
        <f t="shared" si="174"/>
        <v>#REF!</v>
      </c>
    </row>
    <row r="156" ht="15.75" hidden="1" customHeight="1" outlineLevel="2">
      <c r="A156" s="12" t="s">
        <v>288</v>
      </c>
      <c r="B156" s="5" t="s">
        <v>258</v>
      </c>
      <c r="C156" s="5" t="s">
        <v>289</v>
      </c>
      <c r="D156" s="5" t="s">
        <v>260</v>
      </c>
      <c r="E156" s="5" t="s">
        <v>138</v>
      </c>
      <c r="F156" s="13" t="str">
        <f t="shared" ref="F156:F157" si="182">F146</f>
        <v>#REF!</v>
      </c>
      <c r="G156" s="13" t="str">
        <f>WORKDAY(F156,7)</f>
        <v>#REF!</v>
      </c>
      <c r="H156" s="13"/>
      <c r="I156" s="13"/>
      <c r="K156" s="5" t="str">
        <f t="shared" si="173"/>
        <v>#REF!</v>
      </c>
      <c r="L156" s="14">
        <v>0.0</v>
      </c>
      <c r="M156" s="14" t="str">
        <f t="shared" si="178"/>
        <v>#REF!</v>
      </c>
      <c r="N156" s="5" t="str">
        <f t="shared" si="174"/>
        <v>#REF!</v>
      </c>
    </row>
    <row r="157" ht="15.75" hidden="1" customHeight="1" outlineLevel="2">
      <c r="A157" s="12" t="s">
        <v>290</v>
      </c>
      <c r="B157" s="5" t="s">
        <v>258</v>
      </c>
      <c r="C157" s="5" t="s">
        <v>291</v>
      </c>
      <c r="D157" s="5" t="s">
        <v>279</v>
      </c>
      <c r="E157" s="5" t="s">
        <v>138</v>
      </c>
      <c r="F157" s="13" t="str">
        <f t="shared" si="182"/>
        <v>#REF!</v>
      </c>
      <c r="G157" s="13" t="str">
        <f>WORKDAY(F157,3)</f>
        <v>#REF!</v>
      </c>
      <c r="H157" s="13"/>
      <c r="I157" s="13"/>
      <c r="K157" s="5" t="str">
        <f t="shared" si="173"/>
        <v>#REF!</v>
      </c>
      <c r="L157" s="14">
        <v>0.0</v>
      </c>
      <c r="M157" s="14" t="str">
        <f t="shared" si="178"/>
        <v>#REF!</v>
      </c>
      <c r="N157" s="5" t="str">
        <f t="shared" si="174"/>
        <v>#REF!</v>
      </c>
    </row>
    <row r="158" ht="15.75" hidden="1" customHeight="1" outlineLevel="2">
      <c r="A158" s="12" t="s">
        <v>292</v>
      </c>
      <c r="B158" s="5" t="s">
        <v>258</v>
      </c>
      <c r="C158" s="5" t="s">
        <v>293</v>
      </c>
      <c r="D158" s="5" t="s">
        <v>260</v>
      </c>
      <c r="E158" s="5" t="s">
        <v>138</v>
      </c>
      <c r="F158" s="13" t="str">
        <f>F151</f>
        <v>#REF!</v>
      </c>
      <c r="G158" s="13" t="str">
        <f>WORKDAY(F158,4)</f>
        <v>#REF!</v>
      </c>
      <c r="H158" s="13"/>
      <c r="I158" s="13"/>
      <c r="K158" s="5" t="str">
        <f t="shared" si="173"/>
        <v>#REF!</v>
      </c>
      <c r="L158" s="14">
        <v>0.0</v>
      </c>
      <c r="M158" s="14" t="str">
        <f t="shared" si="178"/>
        <v>#REF!</v>
      </c>
      <c r="N158" s="5" t="str">
        <f t="shared" si="174"/>
        <v>#REF!</v>
      </c>
    </row>
    <row r="159" ht="15.75" hidden="1" customHeight="1" outlineLevel="2">
      <c r="A159" s="12" t="s">
        <v>294</v>
      </c>
      <c r="B159" s="5" t="s">
        <v>258</v>
      </c>
      <c r="C159" s="5" t="s">
        <v>295</v>
      </c>
      <c r="D159" s="5" t="s">
        <v>296</v>
      </c>
      <c r="E159" s="5" t="s">
        <v>297</v>
      </c>
      <c r="F159" s="13" t="str">
        <f>F143</f>
        <v>#REF!</v>
      </c>
      <c r="G159" s="13" t="str">
        <f>WORKDAY(F159,7)</f>
        <v>#REF!</v>
      </c>
      <c r="H159" s="13"/>
      <c r="I159" s="13"/>
      <c r="K159" s="5" t="str">
        <f t="shared" si="173"/>
        <v>#REF!</v>
      </c>
      <c r="L159" s="14">
        <v>0.0</v>
      </c>
      <c r="M159" s="14" t="str">
        <f t="shared" si="178"/>
        <v>#REF!</v>
      </c>
      <c r="N159" s="5" t="str">
        <f t="shared" si="174"/>
        <v>#REF!</v>
      </c>
    </row>
    <row r="160" ht="15.75" hidden="1" customHeight="1" outlineLevel="1">
      <c r="A160" s="23" t="s">
        <v>298</v>
      </c>
      <c r="B160" s="24" t="s">
        <v>231</v>
      </c>
      <c r="C160" s="24"/>
      <c r="D160" s="24"/>
      <c r="E160" s="24"/>
      <c r="F160" s="25" t="str">
        <f>MIN((F161:F169))</f>
        <v>#REF!</v>
      </c>
      <c r="G160" s="25" t="str">
        <f>MAX((G161:G169))</f>
        <v>#REF!</v>
      </c>
      <c r="H160" s="25"/>
      <c r="I160" s="25"/>
      <c r="J160" s="24"/>
      <c r="K160" s="24" t="str">
        <f t="shared" si="173"/>
        <v>#REF!</v>
      </c>
      <c r="L160" s="26">
        <f t="shared" ref="L160:M160" si="183">AVERAGE(L161:L169)</f>
        <v>0</v>
      </c>
      <c r="M160" s="26" t="str">
        <f t="shared" si="183"/>
        <v>#REF!</v>
      </c>
      <c r="N160" s="24" t="str">
        <f t="shared" si="174"/>
        <v>#REF!</v>
      </c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ht="15.75" hidden="1" customHeight="1" outlineLevel="2">
      <c r="A161" s="12" t="s">
        <v>299</v>
      </c>
      <c r="B161" s="5" t="s">
        <v>245</v>
      </c>
      <c r="C161" s="5" t="s">
        <v>246</v>
      </c>
      <c r="D161" s="5" t="s">
        <v>17</v>
      </c>
      <c r="E161" s="5" t="s">
        <v>229</v>
      </c>
      <c r="F161" s="13" t="str">
        <f>WORKDAY(G142,1)</f>
        <v>#REF!</v>
      </c>
      <c r="G161" s="13" t="str">
        <f>WORKDAY(F161,10)</f>
        <v>#REF!</v>
      </c>
      <c r="H161" s="13"/>
      <c r="I161" s="13"/>
      <c r="K161" s="5" t="str">
        <f t="shared" si="173"/>
        <v>#REF!</v>
      </c>
      <c r="L161" s="14">
        <v>0.0</v>
      </c>
      <c r="M161" s="14" t="str">
        <f t="shared" ref="M161:M169" si="184">IFS(L161=1,1,F161=TODAY(),0,(AND(F161=G161,F161=TODAY())),(NOW()-TODAY()),(TODAY()-F161)/N161&gt;=1,1,(TODAY()-F161)/N161&lt;0,0,AND((TODAY()-F161)/N161&lt;1,(TODAY()-F161)/N161&gt;0),(TODAY()-F161)/N161)</f>
        <v>#REF!</v>
      </c>
      <c r="N161" s="5" t="str">
        <f t="shared" si="174"/>
        <v>#REF!</v>
      </c>
    </row>
    <row r="162" ht="15.75" hidden="1" customHeight="1" outlineLevel="2">
      <c r="A162" s="12" t="s">
        <v>300</v>
      </c>
      <c r="B162" s="5" t="s">
        <v>245</v>
      </c>
      <c r="C162" s="5" t="s">
        <v>248</v>
      </c>
      <c r="D162" s="5" t="s">
        <v>249</v>
      </c>
      <c r="E162" s="5" t="s">
        <v>229</v>
      </c>
      <c r="F162" s="13" t="str">
        <f>WORKDAY(G161,-5)</f>
        <v>#REF!</v>
      </c>
      <c r="G162" s="13" t="str">
        <f>WORKDAY(G161,5)</f>
        <v>#REF!</v>
      </c>
      <c r="H162" s="13"/>
      <c r="I162" s="13"/>
      <c r="K162" s="5" t="str">
        <f t="shared" si="173"/>
        <v>#REF!</v>
      </c>
      <c r="L162" s="14">
        <v>0.0</v>
      </c>
      <c r="M162" s="14" t="str">
        <f t="shared" si="184"/>
        <v>#REF!</v>
      </c>
      <c r="N162" s="5" t="str">
        <f t="shared" si="174"/>
        <v>#REF!</v>
      </c>
    </row>
    <row r="163" ht="15.75" hidden="1" customHeight="1" outlineLevel="2">
      <c r="A163" s="12" t="s">
        <v>301</v>
      </c>
      <c r="B163" s="5" t="s">
        <v>245</v>
      </c>
      <c r="C163" s="5" t="s">
        <v>251</v>
      </c>
      <c r="D163" s="5" t="s">
        <v>17</v>
      </c>
      <c r="E163" s="5" t="s">
        <v>229</v>
      </c>
      <c r="F163" s="13" t="str">
        <f>WORKDAY(G161,2)</f>
        <v>#REF!</v>
      </c>
      <c r="G163" s="13" t="str">
        <f>WORKDAY(F163,10)</f>
        <v>#REF!</v>
      </c>
      <c r="H163" s="13"/>
      <c r="I163" s="13"/>
      <c r="K163" s="5" t="str">
        <f t="shared" si="173"/>
        <v>#REF!</v>
      </c>
      <c r="L163" s="14">
        <v>0.0</v>
      </c>
      <c r="M163" s="14" t="str">
        <f t="shared" si="184"/>
        <v>#REF!</v>
      </c>
      <c r="N163" s="5" t="str">
        <f t="shared" si="174"/>
        <v>#REF!</v>
      </c>
    </row>
    <row r="164" ht="15.75" hidden="1" customHeight="1" outlineLevel="2">
      <c r="A164" s="12" t="s">
        <v>302</v>
      </c>
      <c r="B164" s="5" t="s">
        <v>245</v>
      </c>
      <c r="C164" s="5" t="s">
        <v>253</v>
      </c>
      <c r="D164" s="5" t="s">
        <v>249</v>
      </c>
      <c r="E164" s="5" t="s">
        <v>229</v>
      </c>
      <c r="F164" s="13" t="str">
        <f>WORKDAY(G163,-5)</f>
        <v>#REF!</v>
      </c>
      <c r="G164" s="13" t="str">
        <f>WORKDAY(G163,5)</f>
        <v>#REF!</v>
      </c>
      <c r="H164" s="13"/>
      <c r="I164" s="13"/>
      <c r="K164" s="5" t="str">
        <f t="shared" si="173"/>
        <v>#REF!</v>
      </c>
      <c r="L164" s="14">
        <v>0.0</v>
      </c>
      <c r="M164" s="14" t="str">
        <f t="shared" si="184"/>
        <v>#REF!</v>
      </c>
      <c r="N164" s="5" t="str">
        <f t="shared" si="174"/>
        <v>#REF!</v>
      </c>
    </row>
    <row r="165" ht="15.75" hidden="1" customHeight="1" outlineLevel="2">
      <c r="A165" s="12" t="s">
        <v>303</v>
      </c>
      <c r="B165" s="5" t="s">
        <v>304</v>
      </c>
      <c r="C165" s="5" t="s">
        <v>305</v>
      </c>
      <c r="D165" s="5" t="s">
        <v>17</v>
      </c>
      <c r="E165" s="5" t="s">
        <v>229</v>
      </c>
      <c r="F165" s="13" t="str">
        <f>WORKDAY(G163,2)</f>
        <v>#REF!</v>
      </c>
      <c r="G165" s="13" t="str">
        <f>WORKDAY(F165,10)</f>
        <v>#REF!</v>
      </c>
      <c r="H165" s="13"/>
      <c r="J165" s="5" t="s">
        <v>306</v>
      </c>
      <c r="K165" s="5" t="str">
        <f t="shared" si="173"/>
        <v>#REF!</v>
      </c>
      <c r="L165" s="14">
        <v>0.0</v>
      </c>
      <c r="M165" s="14" t="str">
        <f t="shared" si="184"/>
        <v>#REF!</v>
      </c>
      <c r="N165" s="5" t="str">
        <f t="shared" si="174"/>
        <v>#REF!</v>
      </c>
    </row>
    <row r="166" ht="15.75" hidden="1" customHeight="1" outlineLevel="2">
      <c r="A166" s="12" t="s">
        <v>307</v>
      </c>
      <c r="B166" s="5" t="s">
        <v>304</v>
      </c>
      <c r="C166" s="5" t="s">
        <v>308</v>
      </c>
      <c r="D166" s="5" t="s">
        <v>249</v>
      </c>
      <c r="E166" s="5" t="s">
        <v>229</v>
      </c>
      <c r="F166" s="13" t="str">
        <f>WORKDAY(G165,-5)</f>
        <v>#REF!</v>
      </c>
      <c r="G166" s="13" t="str">
        <f>WORKDAY(G165,5)</f>
        <v>#REF!</v>
      </c>
      <c r="H166" s="13"/>
      <c r="I166" s="13"/>
      <c r="K166" s="5" t="str">
        <f t="shared" si="173"/>
        <v>#REF!</v>
      </c>
      <c r="L166" s="14">
        <v>0.0</v>
      </c>
      <c r="M166" s="14" t="str">
        <f t="shared" si="184"/>
        <v>#REF!</v>
      </c>
      <c r="N166" s="5" t="str">
        <f t="shared" si="174"/>
        <v>#REF!</v>
      </c>
    </row>
    <row r="167" ht="15.75" hidden="1" customHeight="1" outlineLevel="2">
      <c r="A167" s="12" t="s">
        <v>309</v>
      </c>
      <c r="B167" s="5" t="s">
        <v>310</v>
      </c>
      <c r="C167" s="5" t="s">
        <v>311</v>
      </c>
      <c r="D167" s="5" t="s">
        <v>17</v>
      </c>
      <c r="E167" s="5" t="s">
        <v>229</v>
      </c>
      <c r="F167" s="13" t="str">
        <f>F165</f>
        <v>#REF!</v>
      </c>
      <c r="G167" s="13" t="str">
        <f>WORKDAY(F167,10)</f>
        <v>#REF!</v>
      </c>
      <c r="H167" s="13"/>
      <c r="I167" s="13"/>
      <c r="K167" s="5" t="str">
        <f t="shared" si="173"/>
        <v>#REF!</v>
      </c>
      <c r="L167" s="14">
        <v>0.0</v>
      </c>
      <c r="M167" s="14" t="str">
        <f t="shared" si="184"/>
        <v>#REF!</v>
      </c>
      <c r="N167" s="5" t="str">
        <f t="shared" si="174"/>
        <v>#REF!</v>
      </c>
    </row>
    <row r="168" ht="15.75" hidden="1" customHeight="1" outlineLevel="2">
      <c r="A168" s="12" t="s">
        <v>312</v>
      </c>
      <c r="B168" s="5" t="s">
        <v>310</v>
      </c>
      <c r="C168" s="5" t="s">
        <v>308</v>
      </c>
      <c r="D168" s="5" t="s">
        <v>249</v>
      </c>
      <c r="E168" s="5" t="s">
        <v>229</v>
      </c>
      <c r="F168" s="13" t="str">
        <f>WORKDAY(G167,-5)</f>
        <v>#REF!</v>
      </c>
      <c r="G168" s="13" t="str">
        <f>WORKDAY(G167,5)</f>
        <v>#REF!</v>
      </c>
      <c r="H168" s="13"/>
      <c r="I168" s="13"/>
      <c r="K168" s="5" t="str">
        <f t="shared" si="173"/>
        <v>#REF!</v>
      </c>
      <c r="L168" s="14">
        <v>0.0</v>
      </c>
      <c r="M168" s="14" t="str">
        <f t="shared" si="184"/>
        <v>#REF!</v>
      </c>
      <c r="N168" s="5" t="str">
        <f t="shared" si="174"/>
        <v>#REF!</v>
      </c>
    </row>
    <row r="169" ht="15.75" hidden="1" customHeight="1" outlineLevel="2">
      <c r="A169" s="12" t="s">
        <v>313</v>
      </c>
      <c r="B169" s="5" t="s">
        <v>245</v>
      </c>
      <c r="C169" s="5" t="s">
        <v>314</v>
      </c>
      <c r="D169" s="5" t="s">
        <v>17</v>
      </c>
      <c r="E169" s="5" t="s">
        <v>229</v>
      </c>
      <c r="F169" s="13" t="str">
        <f>WORKDAY(G168,2)</f>
        <v>#REF!</v>
      </c>
      <c r="G169" s="13" t="str">
        <f>WORKDAY(F169,5)</f>
        <v>#REF!</v>
      </c>
      <c r="H169" s="13"/>
      <c r="I169" s="13"/>
      <c r="K169" s="5" t="str">
        <f t="shared" si="173"/>
        <v>#REF!</v>
      </c>
      <c r="L169" s="14">
        <v>0.0</v>
      </c>
      <c r="M169" s="14" t="str">
        <f t="shared" si="184"/>
        <v>#REF!</v>
      </c>
      <c r="N169" s="5" t="str">
        <f t="shared" si="174"/>
        <v>#REF!</v>
      </c>
    </row>
    <row r="170" ht="15.75" hidden="1" customHeight="1" outlineLevel="1">
      <c r="A170" s="23" t="s">
        <v>315</v>
      </c>
      <c r="B170" s="24" t="s">
        <v>316</v>
      </c>
      <c r="C170" s="24"/>
      <c r="D170" s="24"/>
      <c r="E170" s="24"/>
      <c r="F170" s="25" t="str">
        <f>MIN(F171:F180)</f>
        <v>#REF!</v>
      </c>
      <c r="G170" s="25" t="str">
        <f>MAX(G171:G180)</f>
        <v>#REF!</v>
      </c>
      <c r="H170" s="25"/>
      <c r="I170" s="25"/>
      <c r="J170" s="24"/>
      <c r="K170" s="24" t="str">
        <f t="shared" si="173"/>
        <v>#REF!</v>
      </c>
      <c r="L170" s="26">
        <f t="shared" ref="L170:M170" si="185">AVERAGE(L171:L180)</f>
        <v>0</v>
      </c>
      <c r="M170" s="26" t="str">
        <f t="shared" si="185"/>
        <v>#REF!</v>
      </c>
      <c r="N170" s="24" t="str">
        <f t="shared" si="174"/>
        <v>#REF!</v>
      </c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ht="15.75" hidden="1" customHeight="1" outlineLevel="2">
      <c r="A171" s="12" t="s">
        <v>317</v>
      </c>
      <c r="B171" s="5" t="s">
        <v>318</v>
      </c>
      <c r="C171" s="5" t="s">
        <v>319</v>
      </c>
      <c r="D171" s="5" t="s">
        <v>320</v>
      </c>
      <c r="E171" s="5" t="s">
        <v>138</v>
      </c>
      <c r="F171" s="13" t="str">
        <f>WORKDAY(G160,1)</f>
        <v>#REF!</v>
      </c>
      <c r="G171" s="13" t="str">
        <f>WORKDAY(F171,1)</f>
        <v>#REF!</v>
      </c>
      <c r="H171" s="13"/>
      <c r="I171" s="13"/>
      <c r="K171" s="5" t="str">
        <f t="shared" si="173"/>
        <v>#REF!</v>
      </c>
      <c r="L171" s="14">
        <v>0.0</v>
      </c>
      <c r="M171" s="14" t="str">
        <f t="shared" ref="M171:M180" si="186">IFS(L171=1,1,F171=TODAY(),0,(AND(F171=G171,F171=TODAY())),(NOW()-TODAY()),(TODAY()-F171)/N171&gt;=1,1,(TODAY()-F171)/N171&lt;0,0,AND((TODAY()-F171)/N171&lt;1,(TODAY()-F171)/N171&gt;0),(TODAY()-F171)/N171)</f>
        <v>#REF!</v>
      </c>
      <c r="N171" s="5" t="str">
        <f t="shared" si="174"/>
        <v>#REF!</v>
      </c>
    </row>
    <row r="172" ht="15.75" hidden="1" customHeight="1" outlineLevel="2">
      <c r="A172" s="12" t="s">
        <v>321</v>
      </c>
      <c r="B172" s="5" t="s">
        <v>318</v>
      </c>
      <c r="C172" s="5" t="s">
        <v>322</v>
      </c>
      <c r="D172" s="5" t="s">
        <v>320</v>
      </c>
      <c r="E172" s="5" t="s">
        <v>138</v>
      </c>
      <c r="F172" s="13" t="str">
        <f>WORKDAY(G171,1)</f>
        <v>#REF!</v>
      </c>
      <c r="G172" s="13" t="str">
        <f>WORKDAY(F172,2)</f>
        <v>#REF!</v>
      </c>
      <c r="H172" s="13"/>
      <c r="I172" s="13"/>
      <c r="K172" s="5" t="str">
        <f t="shared" si="173"/>
        <v>#REF!</v>
      </c>
      <c r="L172" s="14">
        <v>0.0</v>
      </c>
      <c r="M172" s="14" t="str">
        <f t="shared" si="186"/>
        <v>#REF!</v>
      </c>
      <c r="N172" s="5" t="str">
        <f t="shared" si="174"/>
        <v>#REF!</v>
      </c>
    </row>
    <row r="173" ht="15.75" hidden="1" customHeight="1" outlineLevel="2">
      <c r="A173" s="12" t="s">
        <v>323</v>
      </c>
      <c r="B173" s="5" t="s">
        <v>318</v>
      </c>
      <c r="C173" s="5" t="s">
        <v>324</v>
      </c>
      <c r="D173" s="5" t="s">
        <v>320</v>
      </c>
      <c r="E173" s="5" t="s">
        <v>138</v>
      </c>
      <c r="F173" s="13" t="str">
        <f t="shared" ref="F173:F178" si="187">F172</f>
        <v>#REF!</v>
      </c>
      <c r="G173" s="13" t="str">
        <f>WORKDAY(G171,4)</f>
        <v>#REF!</v>
      </c>
      <c r="H173" s="13"/>
      <c r="I173" s="13"/>
      <c r="K173" s="5" t="str">
        <f t="shared" si="173"/>
        <v>#REF!</v>
      </c>
      <c r="L173" s="14">
        <v>0.0</v>
      </c>
      <c r="M173" s="14" t="str">
        <f t="shared" si="186"/>
        <v>#REF!</v>
      </c>
      <c r="N173" s="5" t="str">
        <f t="shared" si="174"/>
        <v>#REF!</v>
      </c>
    </row>
    <row r="174" ht="15.75" hidden="1" customHeight="1" outlineLevel="2">
      <c r="A174" s="12" t="s">
        <v>325</v>
      </c>
      <c r="B174" s="5" t="s">
        <v>318</v>
      </c>
      <c r="C174" s="5" t="s">
        <v>326</v>
      </c>
      <c r="D174" s="5" t="s">
        <v>320</v>
      </c>
      <c r="E174" s="5" t="s">
        <v>138</v>
      </c>
      <c r="F174" s="13" t="str">
        <f t="shared" si="187"/>
        <v>#REF!</v>
      </c>
      <c r="G174" s="13" t="str">
        <f>WORKDAY(F174,2)</f>
        <v>#REF!</v>
      </c>
      <c r="H174" s="13"/>
      <c r="I174" s="13"/>
      <c r="K174" s="5" t="str">
        <f t="shared" si="173"/>
        <v>#REF!</v>
      </c>
      <c r="L174" s="14">
        <v>0.0</v>
      </c>
      <c r="M174" s="14" t="str">
        <f t="shared" si="186"/>
        <v>#REF!</v>
      </c>
      <c r="N174" s="5" t="str">
        <f t="shared" si="174"/>
        <v>#REF!</v>
      </c>
    </row>
    <row r="175" ht="15.75" hidden="1" customHeight="1" outlineLevel="2">
      <c r="A175" s="12" t="s">
        <v>327</v>
      </c>
      <c r="B175" s="5" t="s">
        <v>318</v>
      </c>
      <c r="C175" s="5" t="s">
        <v>328</v>
      </c>
      <c r="D175" s="5" t="s">
        <v>320</v>
      </c>
      <c r="E175" s="5" t="s">
        <v>138</v>
      </c>
      <c r="F175" s="13" t="str">
        <f t="shared" si="187"/>
        <v>#REF!</v>
      </c>
      <c r="G175" s="13" t="str">
        <f>G173</f>
        <v>#REF!</v>
      </c>
      <c r="H175" s="13"/>
      <c r="I175" s="13"/>
      <c r="K175" s="5" t="str">
        <f t="shared" si="173"/>
        <v>#REF!</v>
      </c>
      <c r="L175" s="14">
        <v>0.0</v>
      </c>
      <c r="M175" s="14" t="str">
        <f t="shared" si="186"/>
        <v>#REF!</v>
      </c>
      <c r="N175" s="5" t="str">
        <f t="shared" si="174"/>
        <v>#REF!</v>
      </c>
    </row>
    <row r="176" ht="15.75" hidden="1" customHeight="1" outlineLevel="2">
      <c r="A176" s="12" t="s">
        <v>329</v>
      </c>
      <c r="B176" s="5" t="s">
        <v>318</v>
      </c>
      <c r="C176" s="5" t="s">
        <v>330</v>
      </c>
      <c r="D176" s="5" t="s">
        <v>320</v>
      </c>
      <c r="E176" s="5" t="s">
        <v>138</v>
      </c>
      <c r="F176" s="13" t="str">
        <f t="shared" si="187"/>
        <v>#REF!</v>
      </c>
      <c r="G176" s="13" t="str">
        <f t="shared" ref="G176:G178" si="188">G175</f>
        <v>#REF!</v>
      </c>
      <c r="H176" s="13"/>
      <c r="I176" s="13"/>
      <c r="K176" s="5" t="str">
        <f t="shared" si="173"/>
        <v>#REF!</v>
      </c>
      <c r="L176" s="14">
        <v>0.0</v>
      </c>
      <c r="M176" s="14" t="str">
        <f t="shared" si="186"/>
        <v>#REF!</v>
      </c>
      <c r="N176" s="5" t="str">
        <f t="shared" si="174"/>
        <v>#REF!</v>
      </c>
    </row>
    <row r="177" ht="15.75" hidden="1" customHeight="1" outlineLevel="2">
      <c r="A177" s="12" t="s">
        <v>331</v>
      </c>
      <c r="B177" s="5" t="s">
        <v>318</v>
      </c>
      <c r="C177" s="5" t="s">
        <v>332</v>
      </c>
      <c r="D177" s="5" t="s">
        <v>320</v>
      </c>
      <c r="E177" s="5" t="s">
        <v>138</v>
      </c>
      <c r="F177" s="13" t="str">
        <f t="shared" si="187"/>
        <v>#REF!</v>
      </c>
      <c r="G177" s="13" t="str">
        <f t="shared" si="188"/>
        <v>#REF!</v>
      </c>
      <c r="H177" s="13"/>
      <c r="I177" s="13"/>
      <c r="K177" s="5" t="str">
        <f t="shared" si="173"/>
        <v>#REF!</v>
      </c>
      <c r="L177" s="14">
        <v>0.0</v>
      </c>
      <c r="M177" s="14" t="str">
        <f t="shared" si="186"/>
        <v>#REF!</v>
      </c>
      <c r="N177" s="5" t="str">
        <f t="shared" si="174"/>
        <v>#REF!</v>
      </c>
    </row>
    <row r="178" ht="15.75" hidden="1" customHeight="1" outlineLevel="2">
      <c r="A178" s="12" t="s">
        <v>333</v>
      </c>
      <c r="B178" s="5" t="s">
        <v>318</v>
      </c>
      <c r="C178" s="5" t="s">
        <v>334</v>
      </c>
      <c r="D178" s="5" t="s">
        <v>320</v>
      </c>
      <c r="E178" s="5" t="s">
        <v>138</v>
      </c>
      <c r="F178" s="13" t="str">
        <f t="shared" si="187"/>
        <v>#REF!</v>
      </c>
      <c r="G178" s="13" t="str">
        <f t="shared" si="188"/>
        <v>#REF!</v>
      </c>
      <c r="H178" s="13"/>
      <c r="I178" s="13"/>
      <c r="K178" s="5" t="str">
        <f t="shared" si="173"/>
        <v>#REF!</v>
      </c>
      <c r="L178" s="14">
        <v>0.0</v>
      </c>
      <c r="M178" s="14" t="str">
        <f t="shared" si="186"/>
        <v>#REF!</v>
      </c>
      <c r="N178" s="5" t="str">
        <f t="shared" si="174"/>
        <v>#REF!</v>
      </c>
    </row>
    <row r="179" ht="15.75" hidden="1" customHeight="1" outlineLevel="2">
      <c r="A179" s="12" t="s">
        <v>335</v>
      </c>
      <c r="B179" s="5" t="s">
        <v>318</v>
      </c>
      <c r="C179" s="5" t="s">
        <v>336</v>
      </c>
      <c r="D179" s="5" t="s">
        <v>320</v>
      </c>
      <c r="E179" s="5" t="s">
        <v>138</v>
      </c>
      <c r="F179" s="13" t="str">
        <f>WORKDAY(G178,1)</f>
        <v>#REF!</v>
      </c>
      <c r="G179" s="13" t="str">
        <f t="shared" ref="G179:G180" si="189">WORKDAY(F179,1)</f>
        <v>#REF!</v>
      </c>
      <c r="H179" s="13"/>
      <c r="I179" s="13"/>
      <c r="K179" s="5" t="str">
        <f t="shared" si="173"/>
        <v>#REF!</v>
      </c>
      <c r="L179" s="14">
        <v>0.0</v>
      </c>
      <c r="M179" s="14" t="str">
        <f t="shared" si="186"/>
        <v>#REF!</v>
      </c>
      <c r="N179" s="5" t="str">
        <f t="shared" si="174"/>
        <v>#REF!</v>
      </c>
    </row>
    <row r="180" ht="15.75" hidden="1" customHeight="1" outlineLevel="2">
      <c r="A180" s="12" t="s">
        <v>337</v>
      </c>
      <c r="B180" s="5" t="s">
        <v>318</v>
      </c>
      <c r="C180" s="5" t="s">
        <v>338</v>
      </c>
      <c r="D180" s="5" t="s">
        <v>320</v>
      </c>
      <c r="E180" s="5" t="s">
        <v>138</v>
      </c>
      <c r="F180" s="13" t="str">
        <f>F179</f>
        <v>#REF!</v>
      </c>
      <c r="G180" s="13" t="str">
        <f t="shared" si="189"/>
        <v>#REF!</v>
      </c>
      <c r="H180" s="13"/>
      <c r="I180" s="13"/>
      <c r="K180" s="5" t="str">
        <f t="shared" si="173"/>
        <v>#REF!</v>
      </c>
      <c r="L180" s="14">
        <v>0.0</v>
      </c>
      <c r="M180" s="14" t="str">
        <f t="shared" si="186"/>
        <v>#REF!</v>
      </c>
      <c r="N180" s="5" t="str">
        <f t="shared" si="174"/>
        <v>#REF!</v>
      </c>
    </row>
    <row r="181" ht="15.75" hidden="1" customHeight="1" outlineLevel="1">
      <c r="A181" s="23" t="s">
        <v>339</v>
      </c>
      <c r="B181" s="24" t="s">
        <v>340</v>
      </c>
      <c r="C181" s="24"/>
      <c r="D181" s="24"/>
      <c r="E181" s="24"/>
      <c r="F181" s="25" t="str">
        <f>MIN(F182:F189)</f>
        <v>#REF!</v>
      </c>
      <c r="G181" s="25" t="str">
        <f>MAX(G182:G189)</f>
        <v>#REF!</v>
      </c>
      <c r="H181" s="25"/>
      <c r="I181" s="25"/>
      <c r="J181" s="24"/>
      <c r="K181" s="24" t="str">
        <f t="shared" si="173"/>
        <v>#REF!</v>
      </c>
      <c r="L181" s="26">
        <f t="shared" ref="L181:M181" si="190">AVERAGE(L182:L189)</f>
        <v>0</v>
      </c>
      <c r="M181" s="26" t="str">
        <f t="shared" si="190"/>
        <v>#REF!</v>
      </c>
      <c r="N181" s="24" t="str">
        <f t="shared" si="174"/>
        <v>#REF!</v>
      </c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ht="15.75" hidden="1" customHeight="1" outlineLevel="2">
      <c r="A182" s="12" t="s">
        <v>341</v>
      </c>
      <c r="B182" s="5" t="s">
        <v>184</v>
      </c>
      <c r="C182" s="5" t="s">
        <v>184</v>
      </c>
      <c r="D182" s="5" t="s">
        <v>342</v>
      </c>
      <c r="E182" s="5" t="s">
        <v>138</v>
      </c>
      <c r="F182" s="13" t="str">
        <f>WORKDAY(G180,5)</f>
        <v>#REF!</v>
      </c>
      <c r="G182" s="13" t="str">
        <f>WORKDAY(F182,0)</f>
        <v>#REF!</v>
      </c>
      <c r="H182" s="13"/>
      <c r="I182" s="13"/>
      <c r="K182" s="5" t="str">
        <f t="shared" si="173"/>
        <v>#REF!</v>
      </c>
      <c r="L182" s="14">
        <v>0.0</v>
      </c>
      <c r="M182" s="14" t="str">
        <f t="shared" ref="M182:M189" si="191">IFS(L182=1,1,F182=TODAY(),0,(AND(F182=G182,F182=TODAY())),(NOW()-TODAY()),(TODAY()-F182)/N182&gt;=1,1,(TODAY()-F182)/N182&lt;0,0,AND((TODAY()-F182)/N182&lt;1,(TODAY()-F182)/N182&gt;0),(TODAY()-F182)/N182)</f>
        <v>#REF!</v>
      </c>
      <c r="N182" s="5" t="str">
        <f t="shared" si="174"/>
        <v>#REF!</v>
      </c>
    </row>
    <row r="183" ht="15.75" hidden="1" customHeight="1" outlineLevel="2">
      <c r="A183" s="12" t="s">
        <v>343</v>
      </c>
      <c r="B183" s="5" t="s">
        <v>344</v>
      </c>
      <c r="C183" s="5" t="s">
        <v>345</v>
      </c>
      <c r="D183" s="5" t="s">
        <v>17</v>
      </c>
      <c r="E183" s="5" t="s">
        <v>138</v>
      </c>
      <c r="F183" s="13" t="str">
        <f>WORKDAY(G182,1)</f>
        <v>#REF!</v>
      </c>
      <c r="G183" s="13" t="str">
        <f t="shared" ref="G183:G189" si="192">F183+3</f>
        <v>#REF!</v>
      </c>
      <c r="H183" s="13"/>
      <c r="I183" s="13"/>
      <c r="K183" s="5" t="str">
        <f t="shared" si="173"/>
        <v>#REF!</v>
      </c>
      <c r="L183" s="14">
        <v>0.0</v>
      </c>
      <c r="M183" s="14" t="str">
        <f t="shared" si="191"/>
        <v>#REF!</v>
      </c>
      <c r="N183" s="5" t="str">
        <f t="shared" si="174"/>
        <v>#REF!</v>
      </c>
    </row>
    <row r="184" ht="15.75" hidden="1" customHeight="1" outlineLevel="2">
      <c r="A184" s="12" t="s">
        <v>346</v>
      </c>
      <c r="B184" s="5" t="s">
        <v>344</v>
      </c>
      <c r="C184" s="5" t="s">
        <v>347</v>
      </c>
      <c r="D184" s="5" t="s">
        <v>17</v>
      </c>
      <c r="E184" s="5" t="s">
        <v>138</v>
      </c>
      <c r="F184" s="13" t="str">
        <f t="shared" ref="F184:F189" si="193">F183</f>
        <v>#REF!</v>
      </c>
      <c r="G184" s="13" t="str">
        <f t="shared" si="192"/>
        <v>#REF!</v>
      </c>
      <c r="H184" s="13"/>
      <c r="I184" s="13"/>
      <c r="K184" s="5" t="str">
        <f t="shared" si="173"/>
        <v>#REF!</v>
      </c>
      <c r="L184" s="14">
        <v>0.0</v>
      </c>
      <c r="M184" s="14" t="str">
        <f t="shared" si="191"/>
        <v>#REF!</v>
      </c>
      <c r="N184" s="5" t="str">
        <f t="shared" si="174"/>
        <v>#REF!</v>
      </c>
    </row>
    <row r="185" ht="15.75" hidden="1" customHeight="1" outlineLevel="2">
      <c r="A185" s="12" t="s">
        <v>348</v>
      </c>
      <c r="B185" s="5" t="s">
        <v>349</v>
      </c>
      <c r="C185" s="5" t="s">
        <v>350</v>
      </c>
      <c r="D185" s="5" t="s">
        <v>17</v>
      </c>
      <c r="E185" s="5" t="s">
        <v>138</v>
      </c>
      <c r="F185" s="13" t="str">
        <f t="shared" si="193"/>
        <v>#REF!</v>
      </c>
      <c r="G185" s="13" t="str">
        <f t="shared" si="192"/>
        <v>#REF!</v>
      </c>
      <c r="H185" s="13"/>
      <c r="I185" s="13"/>
      <c r="K185" s="5" t="str">
        <f t="shared" si="173"/>
        <v>#REF!</v>
      </c>
      <c r="L185" s="14">
        <v>0.0</v>
      </c>
      <c r="M185" s="14" t="str">
        <f t="shared" si="191"/>
        <v>#REF!</v>
      </c>
      <c r="N185" s="5" t="str">
        <f t="shared" si="174"/>
        <v>#REF!</v>
      </c>
    </row>
    <row r="186" ht="15.75" hidden="1" customHeight="1" outlineLevel="2">
      <c r="A186" s="12" t="s">
        <v>351</v>
      </c>
      <c r="B186" s="5" t="s">
        <v>352</v>
      </c>
      <c r="C186" s="5" t="s">
        <v>353</v>
      </c>
      <c r="D186" s="5" t="s">
        <v>17</v>
      </c>
      <c r="E186" s="5" t="s">
        <v>138</v>
      </c>
      <c r="F186" s="13" t="str">
        <f t="shared" si="193"/>
        <v>#REF!</v>
      </c>
      <c r="G186" s="13" t="str">
        <f t="shared" si="192"/>
        <v>#REF!</v>
      </c>
      <c r="H186" s="13"/>
      <c r="I186" s="13"/>
      <c r="K186" s="5" t="str">
        <f t="shared" si="173"/>
        <v>#REF!</v>
      </c>
      <c r="L186" s="14">
        <v>0.0</v>
      </c>
      <c r="M186" s="14" t="str">
        <f t="shared" si="191"/>
        <v>#REF!</v>
      </c>
      <c r="N186" s="5" t="str">
        <f t="shared" si="174"/>
        <v>#REF!</v>
      </c>
    </row>
    <row r="187" ht="15.75" hidden="1" customHeight="1" outlineLevel="2">
      <c r="A187" s="12" t="s">
        <v>354</v>
      </c>
      <c r="B187" s="5" t="s">
        <v>355</v>
      </c>
      <c r="C187" s="5" t="s">
        <v>356</v>
      </c>
      <c r="D187" s="5" t="s">
        <v>17</v>
      </c>
      <c r="E187" s="5" t="s">
        <v>138</v>
      </c>
      <c r="F187" s="13" t="str">
        <f t="shared" si="193"/>
        <v>#REF!</v>
      </c>
      <c r="G187" s="13" t="str">
        <f t="shared" si="192"/>
        <v>#REF!</v>
      </c>
      <c r="H187" s="13"/>
      <c r="I187" s="13"/>
      <c r="K187" s="5" t="str">
        <f t="shared" si="173"/>
        <v>#REF!</v>
      </c>
      <c r="L187" s="14">
        <v>0.0</v>
      </c>
      <c r="M187" s="14" t="str">
        <f t="shared" si="191"/>
        <v>#REF!</v>
      </c>
      <c r="N187" s="5" t="str">
        <f t="shared" si="174"/>
        <v>#REF!</v>
      </c>
    </row>
    <row r="188" ht="15.75" hidden="1" customHeight="1" outlineLevel="2">
      <c r="A188" s="12" t="s">
        <v>357</v>
      </c>
      <c r="B188" s="5" t="s">
        <v>358</v>
      </c>
      <c r="C188" s="5" t="s">
        <v>359</v>
      </c>
      <c r="D188" s="5" t="s">
        <v>17</v>
      </c>
      <c r="E188" s="5" t="s">
        <v>138</v>
      </c>
      <c r="F188" s="13" t="str">
        <f t="shared" si="193"/>
        <v>#REF!</v>
      </c>
      <c r="G188" s="13" t="str">
        <f t="shared" si="192"/>
        <v>#REF!</v>
      </c>
      <c r="H188" s="13"/>
      <c r="I188" s="13"/>
      <c r="K188" s="5" t="str">
        <f t="shared" si="173"/>
        <v>#REF!</v>
      </c>
      <c r="L188" s="14">
        <v>0.0</v>
      </c>
      <c r="M188" s="14" t="str">
        <f t="shared" si="191"/>
        <v>#REF!</v>
      </c>
      <c r="N188" s="5" t="str">
        <f t="shared" si="174"/>
        <v>#REF!</v>
      </c>
    </row>
    <row r="189" ht="15.75" hidden="1" customHeight="1" outlineLevel="2">
      <c r="A189" s="12" t="s">
        <v>360</v>
      </c>
      <c r="B189" s="5" t="s">
        <v>361</v>
      </c>
      <c r="C189" s="5" t="s">
        <v>362</v>
      </c>
      <c r="D189" s="5" t="s">
        <v>17</v>
      </c>
      <c r="E189" s="5" t="s">
        <v>138</v>
      </c>
      <c r="F189" s="13" t="str">
        <f t="shared" si="193"/>
        <v>#REF!</v>
      </c>
      <c r="G189" s="13" t="str">
        <f t="shared" si="192"/>
        <v>#REF!</v>
      </c>
      <c r="H189" s="13"/>
      <c r="I189" s="13"/>
      <c r="K189" s="5" t="str">
        <f t="shared" si="173"/>
        <v>#REF!</v>
      </c>
      <c r="L189" s="14">
        <v>0.0</v>
      </c>
      <c r="M189" s="14" t="str">
        <f t="shared" si="191"/>
        <v>#REF!</v>
      </c>
      <c r="N189" s="5" t="str">
        <f t="shared" si="174"/>
        <v>#REF!</v>
      </c>
    </row>
    <row r="190" ht="15.75" customHeight="1">
      <c r="A190" s="12"/>
      <c r="F190" s="13"/>
      <c r="G190" s="13"/>
      <c r="H190" s="13"/>
      <c r="I190" s="13"/>
      <c r="L190" s="14"/>
      <c r="M190" s="14"/>
    </row>
    <row r="191" ht="15.75" customHeight="1">
      <c r="A191" s="12"/>
      <c r="F191" s="13"/>
      <c r="G191" s="13"/>
      <c r="H191" s="13"/>
      <c r="I191" s="13"/>
      <c r="L191" s="14"/>
      <c r="M191" s="14"/>
    </row>
    <row r="192" ht="15.75" customHeight="1">
      <c r="A192" s="12"/>
      <c r="F192" s="13"/>
      <c r="G192" s="13"/>
      <c r="H192" s="13"/>
      <c r="I192" s="13"/>
      <c r="L192" s="14"/>
      <c r="M192" s="14"/>
    </row>
    <row r="193" ht="15.75" customHeight="1">
      <c r="A193" s="12"/>
      <c r="F193" s="13"/>
      <c r="G193" s="13"/>
      <c r="H193" s="13"/>
      <c r="I193" s="13"/>
      <c r="L193" s="14"/>
      <c r="M193" s="14"/>
    </row>
    <row r="194" ht="15.75" customHeight="1">
      <c r="A194" s="12"/>
      <c r="F194" s="13"/>
      <c r="G194" s="13"/>
      <c r="H194" s="13"/>
      <c r="I194" s="13"/>
      <c r="L194" s="14"/>
      <c r="M194" s="14"/>
    </row>
    <row r="195" ht="15.75" customHeight="1">
      <c r="A195" s="12"/>
      <c r="F195" s="13"/>
      <c r="G195" s="13"/>
      <c r="H195" s="13"/>
      <c r="I195" s="13"/>
      <c r="L195" s="14"/>
      <c r="M195" s="14"/>
    </row>
    <row r="196" ht="15.75" customHeight="1">
      <c r="A196" s="12"/>
      <c r="F196" s="13"/>
      <c r="G196" s="13"/>
      <c r="H196" s="13"/>
      <c r="I196" s="13"/>
      <c r="L196" s="14"/>
      <c r="M196" s="14"/>
    </row>
    <row r="197" ht="15.75" customHeight="1">
      <c r="A197" s="12"/>
      <c r="F197" s="13"/>
      <c r="G197" s="13"/>
      <c r="H197" s="13"/>
      <c r="I197" s="13"/>
      <c r="L197" s="14"/>
      <c r="M197" s="14"/>
    </row>
    <row r="198" ht="15.75" customHeight="1">
      <c r="A198" s="12"/>
      <c r="F198" s="13"/>
      <c r="G198" s="13"/>
      <c r="H198" s="13"/>
      <c r="I198" s="13"/>
      <c r="L198" s="14"/>
      <c r="M198" s="14"/>
    </row>
    <row r="199" ht="15.75" customHeight="1">
      <c r="A199" s="12"/>
      <c r="F199" s="13"/>
      <c r="G199" s="13"/>
      <c r="H199" s="13"/>
      <c r="I199" s="13"/>
      <c r="L199" s="14"/>
      <c r="M199" s="14"/>
    </row>
    <row r="200" ht="15.75" customHeight="1">
      <c r="A200" s="12"/>
      <c r="F200" s="13"/>
      <c r="G200" s="13"/>
      <c r="H200" s="13"/>
      <c r="I200" s="13"/>
      <c r="L200" s="14"/>
      <c r="M200" s="14"/>
    </row>
    <row r="201" ht="15.75" customHeight="1">
      <c r="A201" s="12"/>
      <c r="F201" s="13"/>
      <c r="G201" s="13"/>
      <c r="H201" s="13"/>
      <c r="I201" s="13"/>
      <c r="L201" s="14"/>
      <c r="M201" s="14"/>
    </row>
    <row r="202" ht="15.75" customHeight="1">
      <c r="A202" s="12"/>
      <c r="F202" s="13"/>
      <c r="G202" s="13"/>
      <c r="H202" s="13"/>
      <c r="I202" s="13"/>
      <c r="L202" s="14"/>
      <c r="M202" s="14"/>
    </row>
    <row r="203" ht="15.75" customHeight="1">
      <c r="A203" s="12"/>
      <c r="F203" s="13"/>
      <c r="G203" s="13"/>
      <c r="H203" s="13"/>
      <c r="I203" s="13"/>
      <c r="L203" s="14"/>
      <c r="M203" s="14"/>
    </row>
    <row r="204" ht="15.75" customHeight="1">
      <c r="A204" s="12"/>
      <c r="F204" s="13"/>
      <c r="G204" s="13"/>
      <c r="H204" s="13"/>
      <c r="I204" s="13"/>
      <c r="L204" s="14"/>
      <c r="M204" s="14"/>
    </row>
    <row r="205" ht="15.75" customHeight="1">
      <c r="A205" s="12"/>
      <c r="F205" s="13"/>
      <c r="G205" s="13"/>
      <c r="H205" s="13"/>
      <c r="I205" s="13"/>
      <c r="L205" s="14"/>
      <c r="M205" s="14"/>
    </row>
    <row r="206" ht="15.75" customHeight="1">
      <c r="A206" s="12"/>
      <c r="F206" s="13"/>
      <c r="G206" s="13"/>
      <c r="H206" s="13"/>
      <c r="I206" s="13"/>
      <c r="L206" s="14"/>
      <c r="M206" s="14"/>
    </row>
    <row r="207" ht="15.75" customHeight="1">
      <c r="A207" s="12"/>
      <c r="F207" s="13"/>
      <c r="G207" s="13"/>
      <c r="H207" s="13"/>
      <c r="I207" s="13"/>
      <c r="L207" s="14"/>
      <c r="M207" s="14"/>
    </row>
    <row r="208" ht="15.75" customHeight="1">
      <c r="A208" s="12"/>
      <c r="F208" s="13"/>
      <c r="G208" s="13"/>
      <c r="H208" s="13"/>
      <c r="I208" s="13"/>
      <c r="L208" s="14"/>
      <c r="M208" s="14"/>
    </row>
    <row r="209" ht="15.75" customHeight="1">
      <c r="A209" s="12"/>
      <c r="F209" s="13"/>
      <c r="G209" s="13"/>
      <c r="H209" s="13"/>
      <c r="I209" s="13"/>
      <c r="L209" s="14"/>
      <c r="M209" s="14"/>
    </row>
    <row r="210" ht="15.75" customHeight="1">
      <c r="A210" s="12"/>
      <c r="F210" s="13"/>
      <c r="G210" s="13"/>
      <c r="H210" s="13"/>
      <c r="I210" s="13"/>
      <c r="L210" s="14"/>
      <c r="M210" s="14"/>
    </row>
    <row r="211" ht="15.75" customHeight="1">
      <c r="A211" s="12"/>
      <c r="F211" s="13"/>
      <c r="G211" s="13"/>
      <c r="H211" s="13"/>
      <c r="I211" s="13"/>
      <c r="L211" s="14"/>
      <c r="M211" s="14"/>
    </row>
    <row r="212" ht="15.75" customHeight="1">
      <c r="A212" s="12"/>
      <c r="F212" s="13"/>
      <c r="G212" s="13"/>
      <c r="H212" s="13"/>
      <c r="I212" s="13"/>
      <c r="L212" s="14"/>
      <c r="M212" s="14"/>
    </row>
    <row r="213" ht="15.75" customHeight="1">
      <c r="A213" s="12"/>
      <c r="F213" s="13"/>
      <c r="G213" s="13"/>
      <c r="H213" s="13"/>
      <c r="I213" s="13"/>
      <c r="L213" s="14"/>
      <c r="M213" s="14"/>
    </row>
    <row r="214" ht="15.75" customHeight="1">
      <c r="A214" s="12"/>
      <c r="F214" s="13"/>
      <c r="G214" s="13"/>
      <c r="H214" s="13"/>
      <c r="I214" s="13"/>
      <c r="L214" s="14"/>
      <c r="M214" s="14"/>
    </row>
    <row r="215" ht="15.75" customHeight="1">
      <c r="A215" s="12"/>
      <c r="F215" s="13"/>
      <c r="G215" s="13"/>
      <c r="H215" s="13"/>
      <c r="I215" s="13"/>
      <c r="L215" s="14"/>
      <c r="M215" s="14"/>
    </row>
    <row r="216" ht="15.75" customHeight="1">
      <c r="A216" s="12"/>
      <c r="F216" s="13"/>
      <c r="G216" s="13"/>
      <c r="H216" s="13"/>
      <c r="I216" s="13"/>
      <c r="L216" s="14"/>
      <c r="M216" s="14"/>
    </row>
    <row r="217" ht="15.75" customHeight="1">
      <c r="A217" s="12"/>
      <c r="F217" s="13"/>
      <c r="G217" s="13"/>
      <c r="H217" s="13"/>
      <c r="I217" s="13"/>
      <c r="L217" s="14"/>
      <c r="M217" s="14"/>
    </row>
    <row r="218" ht="15.75" customHeight="1">
      <c r="A218" s="12"/>
      <c r="F218" s="13"/>
      <c r="G218" s="13"/>
      <c r="H218" s="13"/>
      <c r="I218" s="13"/>
      <c r="L218" s="14"/>
      <c r="M218" s="14"/>
    </row>
    <row r="219" ht="15.75" customHeight="1">
      <c r="A219" s="12"/>
      <c r="F219" s="13"/>
      <c r="G219" s="13"/>
      <c r="H219" s="13"/>
      <c r="I219" s="13"/>
      <c r="L219" s="14"/>
      <c r="M219" s="14"/>
    </row>
    <row r="220" ht="15.75" customHeight="1">
      <c r="A220" s="12"/>
      <c r="F220" s="13"/>
      <c r="G220" s="13"/>
      <c r="H220" s="13"/>
      <c r="I220" s="13"/>
      <c r="L220" s="14"/>
      <c r="M220" s="14"/>
    </row>
    <row r="221" ht="15.75" customHeight="1">
      <c r="A221" s="12"/>
      <c r="F221" s="13"/>
      <c r="G221" s="13"/>
      <c r="H221" s="13"/>
      <c r="I221" s="13"/>
      <c r="L221" s="14"/>
      <c r="M221" s="14"/>
    </row>
    <row r="222" ht="15.75" customHeight="1">
      <c r="A222" s="12"/>
      <c r="F222" s="13"/>
      <c r="G222" s="13"/>
      <c r="H222" s="13"/>
      <c r="I222" s="13"/>
      <c r="L222" s="14"/>
      <c r="M222" s="14"/>
    </row>
    <row r="223" ht="15.75" customHeight="1">
      <c r="A223" s="12"/>
      <c r="F223" s="13"/>
      <c r="G223" s="13"/>
      <c r="H223" s="13"/>
      <c r="I223" s="13"/>
      <c r="L223" s="14"/>
      <c r="M223" s="14"/>
    </row>
    <row r="224" ht="15.75" customHeight="1">
      <c r="A224" s="12"/>
      <c r="F224" s="13"/>
      <c r="G224" s="13"/>
      <c r="H224" s="13"/>
      <c r="I224" s="13"/>
      <c r="L224" s="14"/>
      <c r="M224" s="14"/>
    </row>
    <row r="225" ht="15.75" customHeight="1">
      <c r="A225" s="12"/>
      <c r="F225" s="13"/>
      <c r="G225" s="13"/>
      <c r="H225" s="13"/>
      <c r="I225" s="13"/>
      <c r="L225" s="14"/>
      <c r="M225" s="14"/>
    </row>
    <row r="226" ht="15.75" customHeight="1">
      <c r="A226" s="12"/>
      <c r="F226" s="13"/>
      <c r="G226" s="13"/>
      <c r="H226" s="13"/>
      <c r="I226" s="13"/>
      <c r="L226" s="14"/>
      <c r="M226" s="14"/>
    </row>
    <row r="227" ht="15.75" customHeight="1">
      <c r="A227" s="12"/>
      <c r="F227" s="13"/>
      <c r="G227" s="13"/>
      <c r="H227" s="13"/>
      <c r="I227" s="13"/>
      <c r="L227" s="14"/>
      <c r="M227" s="14"/>
    </row>
    <row r="228" ht="15.75" customHeight="1">
      <c r="A228" s="12"/>
      <c r="F228" s="13"/>
      <c r="G228" s="13"/>
      <c r="H228" s="13"/>
      <c r="I228" s="13"/>
      <c r="L228" s="14"/>
      <c r="M228" s="14"/>
    </row>
    <row r="229" ht="15.75" customHeight="1">
      <c r="A229" s="12"/>
      <c r="F229" s="13"/>
      <c r="G229" s="13"/>
      <c r="H229" s="13"/>
      <c r="I229" s="13"/>
      <c r="L229" s="14"/>
      <c r="M229" s="14"/>
    </row>
    <row r="230" ht="15.75" customHeight="1">
      <c r="A230" s="12"/>
      <c r="F230" s="13"/>
      <c r="G230" s="13"/>
      <c r="H230" s="13"/>
      <c r="I230" s="13"/>
      <c r="L230" s="14"/>
      <c r="M230" s="14"/>
    </row>
    <row r="231" ht="15.75" customHeight="1">
      <c r="A231" s="12"/>
      <c r="F231" s="13"/>
      <c r="G231" s="13"/>
      <c r="H231" s="13"/>
      <c r="I231" s="13"/>
      <c r="L231" s="14"/>
      <c r="M231" s="14"/>
    </row>
    <row r="232" ht="15.75" customHeight="1">
      <c r="A232" s="12"/>
      <c r="F232" s="13"/>
      <c r="G232" s="13"/>
      <c r="H232" s="13"/>
      <c r="I232" s="13"/>
      <c r="L232" s="14"/>
      <c r="M232" s="14"/>
    </row>
    <row r="233" ht="15.75" customHeight="1">
      <c r="A233" s="12"/>
      <c r="F233" s="13"/>
      <c r="G233" s="13"/>
      <c r="H233" s="13"/>
      <c r="I233" s="13"/>
      <c r="L233" s="14"/>
      <c r="M233" s="14"/>
    </row>
    <row r="234" ht="15.75" customHeight="1">
      <c r="A234" s="12"/>
      <c r="F234" s="13"/>
      <c r="G234" s="13"/>
      <c r="H234" s="13"/>
      <c r="I234" s="13"/>
      <c r="L234" s="14"/>
      <c r="M234" s="14"/>
    </row>
    <row r="235" ht="15.75" customHeight="1">
      <c r="A235" s="12"/>
      <c r="F235" s="13"/>
      <c r="G235" s="13"/>
      <c r="H235" s="13"/>
      <c r="I235" s="13"/>
      <c r="L235" s="14"/>
      <c r="M235" s="14"/>
    </row>
    <row r="236" ht="15.75" customHeight="1">
      <c r="A236" s="12"/>
      <c r="F236" s="13"/>
      <c r="G236" s="13"/>
      <c r="H236" s="13"/>
      <c r="I236" s="13"/>
      <c r="L236" s="14"/>
      <c r="M236" s="14"/>
    </row>
    <row r="237" ht="15.75" customHeight="1">
      <c r="A237" s="12"/>
      <c r="F237" s="13"/>
      <c r="G237" s="13"/>
      <c r="H237" s="13"/>
      <c r="I237" s="13"/>
      <c r="L237" s="14"/>
      <c r="M237" s="14"/>
    </row>
    <row r="238" ht="15.75" customHeight="1">
      <c r="A238" s="12"/>
      <c r="F238" s="13"/>
      <c r="G238" s="13"/>
      <c r="H238" s="13"/>
      <c r="I238" s="13"/>
      <c r="L238" s="14"/>
      <c r="M238" s="14"/>
    </row>
    <row r="239" ht="15.75" customHeight="1">
      <c r="A239" s="12"/>
      <c r="F239" s="13"/>
      <c r="G239" s="13"/>
      <c r="H239" s="13"/>
      <c r="I239" s="13"/>
      <c r="L239" s="14"/>
      <c r="M239" s="14"/>
    </row>
    <row r="240" ht="15.75" customHeight="1">
      <c r="A240" s="12"/>
      <c r="F240" s="13"/>
      <c r="G240" s="13"/>
      <c r="H240" s="13"/>
      <c r="I240" s="13"/>
      <c r="L240" s="14"/>
      <c r="M240" s="14"/>
    </row>
    <row r="241" ht="15.75" customHeight="1">
      <c r="A241" s="12"/>
      <c r="F241" s="13"/>
      <c r="G241" s="13"/>
      <c r="H241" s="13"/>
      <c r="I241" s="13"/>
      <c r="L241" s="14"/>
      <c r="M241" s="14"/>
    </row>
    <row r="242" ht="15.75" customHeight="1">
      <c r="A242" s="12"/>
      <c r="F242" s="13"/>
      <c r="G242" s="13"/>
      <c r="H242" s="13"/>
      <c r="I242" s="13"/>
      <c r="L242" s="14"/>
      <c r="M242" s="14"/>
    </row>
    <row r="243" ht="15.75" customHeight="1">
      <c r="A243" s="12"/>
      <c r="F243" s="13"/>
      <c r="G243" s="13"/>
      <c r="H243" s="13"/>
      <c r="I243" s="13"/>
      <c r="L243" s="14"/>
      <c r="M243" s="14"/>
    </row>
    <row r="244" ht="15.75" customHeight="1">
      <c r="A244" s="12"/>
      <c r="F244" s="13"/>
      <c r="G244" s="13"/>
      <c r="H244" s="13"/>
      <c r="I244" s="13"/>
      <c r="L244" s="14"/>
      <c r="M244" s="14"/>
    </row>
    <row r="245" ht="15.75" customHeight="1">
      <c r="A245" s="12"/>
      <c r="F245" s="13"/>
      <c r="G245" s="13"/>
      <c r="H245" s="13"/>
      <c r="I245" s="13"/>
      <c r="L245" s="14"/>
      <c r="M245" s="14"/>
    </row>
    <row r="246" ht="15.75" customHeight="1">
      <c r="A246" s="12"/>
      <c r="F246" s="13"/>
      <c r="G246" s="13"/>
      <c r="H246" s="13"/>
      <c r="I246" s="13"/>
      <c r="L246" s="14"/>
      <c r="M246" s="14"/>
    </row>
    <row r="247" ht="15.75" customHeight="1">
      <c r="A247" s="12"/>
      <c r="F247" s="13"/>
      <c r="G247" s="13"/>
      <c r="H247" s="13"/>
      <c r="I247" s="13"/>
      <c r="L247" s="14"/>
      <c r="M247" s="14"/>
    </row>
    <row r="248" ht="15.75" customHeight="1">
      <c r="A248" s="12"/>
      <c r="F248" s="13"/>
      <c r="G248" s="13"/>
      <c r="H248" s="13"/>
      <c r="I248" s="13"/>
      <c r="L248" s="14"/>
      <c r="M248" s="14"/>
    </row>
    <row r="249" ht="15.75" customHeight="1">
      <c r="A249" s="12"/>
      <c r="F249" s="13"/>
      <c r="G249" s="13"/>
      <c r="H249" s="13"/>
      <c r="I249" s="13"/>
      <c r="L249" s="14"/>
      <c r="M249" s="14"/>
    </row>
    <row r="250" ht="15.75" customHeight="1">
      <c r="A250" s="12"/>
      <c r="F250" s="13"/>
      <c r="G250" s="13"/>
      <c r="H250" s="13"/>
      <c r="I250" s="13"/>
      <c r="L250" s="14"/>
      <c r="M250" s="14"/>
    </row>
    <row r="251" ht="15.75" customHeight="1">
      <c r="A251" s="12"/>
      <c r="F251" s="13"/>
      <c r="G251" s="13"/>
      <c r="H251" s="13"/>
      <c r="I251" s="13"/>
      <c r="L251" s="14"/>
      <c r="M251" s="14"/>
    </row>
    <row r="252" ht="15.75" customHeight="1">
      <c r="A252" s="12"/>
      <c r="F252" s="13"/>
      <c r="G252" s="13"/>
      <c r="H252" s="13"/>
      <c r="I252" s="13"/>
      <c r="L252" s="14"/>
      <c r="M252" s="14"/>
    </row>
    <row r="253" ht="15.75" customHeight="1">
      <c r="A253" s="12"/>
      <c r="F253" s="13"/>
      <c r="G253" s="13"/>
      <c r="H253" s="13"/>
      <c r="I253" s="13"/>
      <c r="L253" s="14"/>
      <c r="M253" s="14"/>
    </row>
    <row r="254" ht="15.75" customHeight="1">
      <c r="A254" s="12"/>
      <c r="F254" s="13"/>
      <c r="G254" s="13"/>
      <c r="H254" s="13"/>
      <c r="I254" s="13"/>
      <c r="L254" s="14"/>
      <c r="M254" s="14"/>
    </row>
    <row r="255" ht="15.75" customHeight="1">
      <c r="A255" s="12"/>
      <c r="F255" s="13"/>
      <c r="G255" s="13"/>
      <c r="H255" s="13"/>
      <c r="I255" s="13"/>
      <c r="L255" s="14"/>
      <c r="M255" s="14"/>
    </row>
    <row r="256" ht="15.75" customHeight="1">
      <c r="A256" s="12"/>
      <c r="F256" s="13"/>
      <c r="G256" s="13"/>
      <c r="H256" s="13"/>
      <c r="I256" s="13"/>
      <c r="L256" s="14"/>
      <c r="M256" s="14"/>
    </row>
    <row r="257" ht="15.75" customHeight="1">
      <c r="A257" s="12"/>
      <c r="F257" s="13"/>
      <c r="G257" s="13"/>
      <c r="H257" s="13"/>
      <c r="I257" s="13"/>
      <c r="L257" s="14"/>
      <c r="M257" s="14"/>
    </row>
    <row r="258" ht="15.75" customHeight="1">
      <c r="A258" s="12"/>
      <c r="F258" s="13"/>
      <c r="G258" s="13"/>
      <c r="H258" s="13"/>
      <c r="I258" s="13"/>
      <c r="L258" s="14"/>
      <c r="M258" s="14"/>
    </row>
    <row r="259" ht="15.75" customHeight="1">
      <c r="A259" s="12"/>
      <c r="F259" s="13"/>
      <c r="G259" s="13"/>
      <c r="H259" s="13"/>
      <c r="I259" s="13"/>
      <c r="L259" s="14"/>
      <c r="M259" s="14"/>
    </row>
    <row r="260" ht="15.75" customHeight="1">
      <c r="A260" s="12"/>
      <c r="F260" s="13"/>
      <c r="G260" s="13"/>
      <c r="H260" s="13"/>
      <c r="I260" s="13"/>
      <c r="L260" s="14"/>
      <c r="M260" s="14"/>
    </row>
    <row r="261" ht="15.75" customHeight="1">
      <c r="A261" s="12"/>
      <c r="F261" s="13"/>
      <c r="G261" s="13"/>
      <c r="H261" s="13"/>
      <c r="I261" s="13"/>
      <c r="L261" s="14"/>
      <c r="M261" s="14"/>
    </row>
    <row r="262" ht="15.75" customHeight="1">
      <c r="A262" s="12"/>
      <c r="F262" s="13"/>
      <c r="G262" s="13"/>
      <c r="H262" s="13"/>
      <c r="I262" s="13"/>
      <c r="L262" s="14"/>
      <c r="M262" s="14"/>
    </row>
    <row r="263" ht="15.75" customHeight="1">
      <c r="A263" s="12"/>
      <c r="F263" s="13"/>
      <c r="G263" s="13"/>
      <c r="H263" s="13"/>
      <c r="I263" s="13"/>
      <c r="L263" s="14"/>
      <c r="M263" s="14"/>
    </row>
    <row r="264" ht="15.75" customHeight="1">
      <c r="A264" s="12"/>
      <c r="F264" s="13"/>
      <c r="G264" s="13"/>
      <c r="H264" s="13"/>
      <c r="I264" s="13"/>
      <c r="L264" s="14"/>
      <c r="M264" s="14"/>
    </row>
    <row r="265" ht="15.75" customHeight="1">
      <c r="A265" s="12"/>
      <c r="F265" s="13"/>
      <c r="G265" s="13"/>
      <c r="H265" s="13"/>
      <c r="I265" s="13"/>
      <c r="L265" s="14"/>
      <c r="M265" s="14"/>
    </row>
    <row r="266" ht="15.75" customHeight="1">
      <c r="A266" s="12"/>
      <c r="F266" s="13"/>
      <c r="G266" s="13"/>
      <c r="H266" s="13"/>
      <c r="I266" s="13"/>
      <c r="L266" s="14"/>
      <c r="M266" s="14"/>
    </row>
    <row r="267" ht="15.75" customHeight="1">
      <c r="A267" s="12"/>
      <c r="F267" s="13"/>
      <c r="G267" s="13"/>
      <c r="H267" s="13"/>
      <c r="I267" s="13"/>
      <c r="L267" s="14"/>
      <c r="M267" s="14"/>
    </row>
    <row r="268" ht="15.75" customHeight="1">
      <c r="A268" s="12"/>
      <c r="F268" s="13"/>
      <c r="G268" s="13"/>
      <c r="H268" s="13"/>
      <c r="I268" s="13"/>
      <c r="L268" s="14"/>
      <c r="M268" s="14"/>
    </row>
    <row r="269" ht="15.75" customHeight="1">
      <c r="A269" s="12"/>
      <c r="F269" s="13"/>
      <c r="G269" s="13"/>
      <c r="H269" s="13"/>
      <c r="I269" s="13"/>
      <c r="L269" s="14"/>
      <c r="M269" s="14"/>
    </row>
    <row r="270" ht="15.75" customHeight="1">
      <c r="A270" s="12"/>
      <c r="F270" s="13"/>
      <c r="G270" s="13"/>
      <c r="H270" s="13"/>
      <c r="I270" s="13"/>
      <c r="L270" s="14"/>
      <c r="M270" s="14"/>
    </row>
    <row r="271" ht="15.75" customHeight="1">
      <c r="A271" s="12"/>
      <c r="F271" s="13"/>
      <c r="G271" s="13"/>
      <c r="H271" s="13"/>
      <c r="I271" s="13"/>
      <c r="L271" s="14"/>
      <c r="M271" s="14"/>
    </row>
    <row r="272" ht="15.75" customHeight="1">
      <c r="A272" s="12"/>
      <c r="F272" s="13"/>
      <c r="G272" s="13"/>
      <c r="H272" s="13"/>
      <c r="I272" s="13"/>
      <c r="L272" s="14"/>
      <c r="M272" s="14"/>
    </row>
    <row r="273" ht="15.75" customHeight="1">
      <c r="A273" s="12"/>
      <c r="F273" s="13"/>
      <c r="G273" s="13"/>
      <c r="H273" s="13"/>
      <c r="I273" s="13"/>
      <c r="L273" s="14"/>
      <c r="M273" s="14"/>
    </row>
    <row r="274" ht="15.75" customHeight="1">
      <c r="A274" s="12"/>
      <c r="F274" s="13"/>
      <c r="G274" s="13"/>
      <c r="H274" s="13"/>
      <c r="I274" s="13"/>
      <c r="L274" s="14"/>
      <c r="M274" s="14"/>
    </row>
    <row r="275" ht="15.75" customHeight="1">
      <c r="A275" s="12"/>
      <c r="F275" s="13"/>
      <c r="G275" s="13"/>
      <c r="H275" s="13"/>
      <c r="I275" s="13"/>
      <c r="L275" s="14"/>
      <c r="M275" s="14"/>
    </row>
    <row r="276" ht="15.75" customHeight="1">
      <c r="A276" s="12"/>
      <c r="F276" s="13"/>
      <c r="G276" s="13"/>
      <c r="H276" s="13"/>
      <c r="I276" s="13"/>
      <c r="L276" s="14"/>
      <c r="M276" s="14"/>
    </row>
    <row r="277" ht="15.75" customHeight="1">
      <c r="A277" s="12"/>
      <c r="F277" s="13"/>
      <c r="G277" s="13"/>
      <c r="H277" s="13"/>
      <c r="I277" s="13"/>
      <c r="L277" s="14"/>
      <c r="M277" s="14"/>
    </row>
    <row r="278" ht="15.75" customHeight="1">
      <c r="A278" s="12"/>
      <c r="F278" s="13"/>
      <c r="G278" s="13"/>
      <c r="H278" s="13"/>
      <c r="I278" s="13"/>
      <c r="L278" s="14"/>
      <c r="M278" s="14"/>
    </row>
    <row r="279" ht="15.75" customHeight="1">
      <c r="A279" s="12"/>
      <c r="F279" s="13"/>
      <c r="G279" s="13"/>
      <c r="H279" s="13"/>
      <c r="I279" s="13"/>
      <c r="L279" s="14"/>
      <c r="M279" s="14"/>
    </row>
    <row r="280" ht="15.75" customHeight="1">
      <c r="A280" s="12"/>
      <c r="F280" s="13"/>
      <c r="G280" s="13"/>
      <c r="H280" s="13"/>
      <c r="I280" s="13"/>
      <c r="L280" s="14"/>
      <c r="M280" s="14"/>
    </row>
    <row r="281" ht="15.75" customHeight="1">
      <c r="A281" s="12"/>
      <c r="F281" s="13"/>
      <c r="G281" s="13"/>
      <c r="H281" s="13"/>
      <c r="I281" s="13"/>
      <c r="L281" s="14"/>
      <c r="M281" s="14"/>
    </row>
    <row r="282" ht="15.75" customHeight="1">
      <c r="A282" s="12"/>
      <c r="F282" s="13"/>
      <c r="G282" s="13"/>
      <c r="H282" s="13"/>
      <c r="I282" s="13"/>
      <c r="L282" s="14"/>
      <c r="M282" s="14"/>
    </row>
    <row r="283" ht="15.75" customHeight="1">
      <c r="A283" s="12"/>
      <c r="F283" s="13"/>
      <c r="G283" s="13"/>
      <c r="H283" s="13"/>
      <c r="I283" s="13"/>
      <c r="L283" s="14"/>
      <c r="M283" s="14"/>
    </row>
    <row r="284" ht="15.75" customHeight="1">
      <c r="A284" s="12"/>
      <c r="F284" s="13"/>
      <c r="G284" s="13"/>
      <c r="H284" s="13"/>
      <c r="I284" s="13"/>
      <c r="L284" s="14"/>
      <c r="M284" s="14"/>
    </row>
    <row r="285" ht="15.75" customHeight="1">
      <c r="A285" s="12"/>
      <c r="F285" s="13"/>
      <c r="G285" s="13"/>
      <c r="H285" s="13"/>
      <c r="I285" s="13"/>
      <c r="L285" s="14"/>
      <c r="M285" s="14"/>
    </row>
    <row r="286" ht="15.75" customHeight="1">
      <c r="A286" s="12"/>
      <c r="F286" s="13"/>
      <c r="G286" s="13"/>
      <c r="H286" s="13"/>
      <c r="I286" s="13"/>
      <c r="L286" s="14"/>
      <c r="M286" s="14"/>
    </row>
    <row r="287" ht="15.75" customHeight="1">
      <c r="A287" s="12"/>
      <c r="F287" s="13"/>
      <c r="G287" s="13"/>
      <c r="H287" s="13"/>
      <c r="I287" s="13"/>
      <c r="L287" s="14"/>
      <c r="M287" s="14"/>
    </row>
    <row r="288" ht="15.75" customHeight="1">
      <c r="A288" s="12"/>
      <c r="F288" s="13"/>
      <c r="G288" s="13"/>
      <c r="H288" s="13"/>
      <c r="I288" s="13"/>
      <c r="L288" s="14"/>
      <c r="M288" s="14"/>
    </row>
    <row r="289" ht="15.75" customHeight="1">
      <c r="A289" s="12"/>
      <c r="F289" s="13"/>
      <c r="G289" s="13"/>
      <c r="H289" s="13"/>
      <c r="I289" s="13"/>
      <c r="L289" s="14"/>
      <c r="M289" s="14"/>
    </row>
    <row r="290" ht="15.75" customHeight="1">
      <c r="A290" s="12"/>
      <c r="F290" s="13"/>
      <c r="G290" s="13"/>
      <c r="H290" s="13"/>
      <c r="I290" s="13"/>
      <c r="L290" s="14"/>
      <c r="M290" s="14"/>
    </row>
    <row r="291" ht="15.75" customHeight="1">
      <c r="A291" s="12"/>
      <c r="F291" s="13"/>
      <c r="G291" s="13"/>
      <c r="H291" s="13"/>
      <c r="I291" s="13"/>
      <c r="L291" s="14"/>
      <c r="M291" s="14"/>
    </row>
    <row r="292" ht="15.75" customHeight="1">
      <c r="A292" s="12"/>
      <c r="F292" s="13"/>
      <c r="G292" s="13"/>
      <c r="H292" s="13"/>
      <c r="I292" s="13"/>
      <c r="L292" s="14"/>
      <c r="M292" s="14"/>
    </row>
    <row r="293" ht="15.75" customHeight="1">
      <c r="A293" s="12"/>
      <c r="F293" s="13"/>
      <c r="G293" s="13"/>
      <c r="H293" s="13"/>
      <c r="I293" s="13"/>
      <c r="L293" s="14"/>
      <c r="M293" s="14"/>
    </row>
    <row r="294" ht="15.75" customHeight="1">
      <c r="A294" s="12"/>
      <c r="F294" s="13"/>
      <c r="G294" s="13"/>
      <c r="H294" s="13"/>
      <c r="I294" s="13"/>
      <c r="L294" s="14"/>
      <c r="M294" s="14"/>
    </row>
    <row r="295" ht="15.75" customHeight="1">
      <c r="A295" s="12"/>
      <c r="F295" s="13"/>
      <c r="G295" s="13"/>
      <c r="H295" s="13"/>
      <c r="I295" s="13"/>
      <c r="L295" s="14"/>
      <c r="M295" s="14"/>
    </row>
    <row r="296" ht="15.75" customHeight="1">
      <c r="A296" s="12"/>
      <c r="F296" s="13"/>
      <c r="G296" s="13"/>
      <c r="H296" s="13"/>
      <c r="I296" s="13"/>
      <c r="L296" s="14"/>
      <c r="M296" s="14"/>
    </row>
    <row r="297" ht="15.75" customHeight="1">
      <c r="A297" s="12"/>
      <c r="F297" s="13"/>
      <c r="G297" s="13"/>
      <c r="H297" s="13"/>
      <c r="I297" s="13"/>
      <c r="L297" s="14"/>
      <c r="M297" s="14"/>
    </row>
    <row r="298" ht="15.75" customHeight="1">
      <c r="A298" s="12"/>
      <c r="F298" s="13"/>
      <c r="G298" s="13"/>
      <c r="H298" s="13"/>
      <c r="I298" s="13"/>
      <c r="L298" s="14"/>
      <c r="M298" s="14"/>
    </row>
    <row r="299" ht="15.75" customHeight="1">
      <c r="A299" s="12"/>
      <c r="F299" s="13"/>
      <c r="G299" s="13"/>
      <c r="H299" s="13"/>
      <c r="I299" s="13"/>
      <c r="L299" s="14"/>
      <c r="M299" s="14"/>
    </row>
    <row r="300" ht="15.75" customHeight="1">
      <c r="A300" s="12"/>
      <c r="F300" s="13"/>
      <c r="G300" s="13"/>
      <c r="H300" s="13"/>
      <c r="I300" s="13"/>
      <c r="L300" s="14"/>
      <c r="M300" s="14"/>
    </row>
    <row r="301" ht="15.75" customHeight="1">
      <c r="A301" s="12"/>
      <c r="F301" s="13"/>
      <c r="G301" s="13"/>
      <c r="H301" s="13"/>
      <c r="I301" s="13"/>
      <c r="L301" s="14"/>
      <c r="M301" s="14"/>
    </row>
    <row r="302" ht="15.75" customHeight="1">
      <c r="A302" s="12"/>
      <c r="F302" s="13"/>
      <c r="G302" s="13"/>
      <c r="H302" s="13"/>
      <c r="I302" s="13"/>
      <c r="L302" s="14"/>
      <c r="M302" s="14"/>
    </row>
    <row r="303" ht="15.75" customHeight="1">
      <c r="A303" s="12"/>
      <c r="F303" s="13"/>
      <c r="G303" s="13"/>
      <c r="H303" s="13"/>
      <c r="I303" s="13"/>
      <c r="L303" s="14"/>
      <c r="M303" s="14"/>
    </row>
    <row r="304" ht="15.75" customHeight="1">
      <c r="A304" s="12"/>
      <c r="F304" s="13"/>
      <c r="G304" s="13"/>
      <c r="H304" s="13"/>
      <c r="I304" s="13"/>
      <c r="L304" s="14"/>
      <c r="M304" s="14"/>
    </row>
    <row r="305" ht="15.75" customHeight="1">
      <c r="A305" s="12"/>
      <c r="F305" s="13"/>
      <c r="G305" s="13"/>
      <c r="H305" s="13"/>
      <c r="I305" s="13"/>
      <c r="L305" s="14"/>
      <c r="M305" s="14"/>
    </row>
    <row r="306" ht="15.75" customHeight="1">
      <c r="A306" s="12"/>
      <c r="F306" s="13"/>
      <c r="G306" s="13"/>
      <c r="H306" s="13"/>
      <c r="I306" s="13"/>
      <c r="L306" s="14"/>
      <c r="M306" s="14"/>
    </row>
    <row r="307" ht="15.75" customHeight="1">
      <c r="A307" s="12"/>
      <c r="F307" s="13"/>
      <c r="G307" s="13"/>
      <c r="H307" s="13"/>
      <c r="I307" s="13"/>
      <c r="L307" s="14"/>
      <c r="M307" s="14"/>
    </row>
    <row r="308" ht="15.75" customHeight="1">
      <c r="A308" s="12"/>
      <c r="F308" s="13"/>
      <c r="G308" s="13"/>
      <c r="H308" s="13"/>
      <c r="I308" s="13"/>
      <c r="L308" s="14"/>
      <c r="M308" s="14"/>
    </row>
    <row r="309" ht="15.75" customHeight="1">
      <c r="A309" s="12"/>
      <c r="F309" s="13"/>
      <c r="G309" s="13"/>
      <c r="H309" s="13"/>
      <c r="I309" s="13"/>
      <c r="L309" s="14"/>
      <c r="M309" s="14"/>
    </row>
    <row r="310" ht="15.75" customHeight="1">
      <c r="A310" s="12"/>
      <c r="F310" s="13"/>
      <c r="G310" s="13"/>
      <c r="H310" s="13"/>
      <c r="I310" s="13"/>
      <c r="L310" s="14"/>
      <c r="M310" s="14"/>
    </row>
    <row r="311" ht="15.75" customHeight="1">
      <c r="A311" s="12"/>
      <c r="F311" s="13"/>
      <c r="G311" s="13"/>
      <c r="H311" s="13"/>
      <c r="I311" s="13"/>
      <c r="L311" s="14"/>
      <c r="M311" s="14"/>
    </row>
    <row r="312" ht="15.75" customHeight="1">
      <c r="A312" s="12"/>
      <c r="F312" s="13"/>
      <c r="G312" s="13"/>
      <c r="H312" s="13"/>
      <c r="I312" s="13"/>
      <c r="L312" s="14"/>
      <c r="M312" s="14"/>
    </row>
    <row r="313" ht="15.75" customHeight="1">
      <c r="A313" s="12"/>
      <c r="F313" s="13"/>
      <c r="G313" s="13"/>
      <c r="H313" s="13"/>
      <c r="I313" s="13"/>
      <c r="L313" s="14"/>
      <c r="M313" s="14"/>
    </row>
    <row r="314" ht="15.75" customHeight="1">
      <c r="A314" s="12"/>
      <c r="F314" s="13"/>
      <c r="G314" s="13"/>
      <c r="H314" s="13"/>
      <c r="I314" s="13"/>
      <c r="L314" s="14"/>
      <c r="M314" s="14"/>
    </row>
    <row r="315" ht="15.75" customHeight="1">
      <c r="A315" s="12"/>
      <c r="F315" s="13"/>
      <c r="G315" s="13"/>
      <c r="H315" s="13"/>
      <c r="I315" s="13"/>
      <c r="L315" s="14"/>
      <c r="M315" s="14"/>
    </row>
    <row r="316" ht="15.75" customHeight="1">
      <c r="A316" s="12"/>
      <c r="F316" s="13"/>
      <c r="G316" s="13"/>
      <c r="H316" s="13"/>
      <c r="I316" s="13"/>
      <c r="L316" s="14"/>
      <c r="M316" s="14"/>
    </row>
    <row r="317" ht="15.75" customHeight="1">
      <c r="A317" s="12"/>
      <c r="F317" s="13"/>
      <c r="G317" s="13"/>
      <c r="H317" s="13"/>
      <c r="I317" s="13"/>
      <c r="L317" s="14"/>
      <c r="M317" s="14"/>
    </row>
    <row r="318" ht="15.75" customHeight="1">
      <c r="A318" s="12"/>
      <c r="F318" s="13"/>
      <c r="G318" s="13"/>
      <c r="H318" s="13"/>
      <c r="I318" s="13"/>
      <c r="L318" s="14"/>
      <c r="M318" s="14"/>
    </row>
    <row r="319" ht="15.75" customHeight="1">
      <c r="A319" s="12"/>
      <c r="F319" s="13"/>
      <c r="G319" s="13"/>
      <c r="H319" s="13"/>
      <c r="I319" s="13"/>
      <c r="L319" s="14"/>
      <c r="M319" s="14"/>
    </row>
    <row r="320" ht="15.75" customHeight="1">
      <c r="A320" s="12"/>
      <c r="F320" s="13"/>
      <c r="G320" s="13"/>
      <c r="H320" s="13"/>
      <c r="I320" s="13"/>
      <c r="L320" s="14"/>
      <c r="M320" s="14"/>
    </row>
    <row r="321" ht="15.75" customHeight="1">
      <c r="A321" s="12"/>
      <c r="F321" s="13"/>
      <c r="G321" s="13"/>
      <c r="H321" s="13"/>
      <c r="I321" s="13"/>
      <c r="L321" s="14"/>
      <c r="M321" s="14"/>
    </row>
    <row r="322" ht="15.75" customHeight="1">
      <c r="A322" s="12"/>
      <c r="F322" s="13"/>
      <c r="G322" s="13"/>
      <c r="H322" s="13"/>
      <c r="I322" s="13"/>
      <c r="L322" s="14"/>
      <c r="M322" s="14"/>
    </row>
    <row r="323" ht="15.75" customHeight="1">
      <c r="A323" s="12"/>
      <c r="F323" s="13"/>
      <c r="G323" s="13"/>
      <c r="H323" s="13"/>
      <c r="I323" s="13"/>
      <c r="L323" s="14"/>
      <c r="M323" s="14"/>
    </row>
    <row r="324" ht="15.75" customHeight="1">
      <c r="A324" s="12"/>
      <c r="F324" s="13"/>
      <c r="G324" s="13"/>
      <c r="H324" s="13"/>
      <c r="I324" s="13"/>
      <c r="L324" s="14"/>
      <c r="M324" s="14"/>
    </row>
    <row r="325" ht="15.75" customHeight="1">
      <c r="A325" s="12"/>
      <c r="F325" s="13"/>
      <c r="G325" s="13"/>
      <c r="H325" s="13"/>
      <c r="I325" s="13"/>
      <c r="L325" s="14"/>
      <c r="M325" s="14"/>
    </row>
    <row r="326" ht="15.75" customHeight="1">
      <c r="A326" s="12"/>
      <c r="F326" s="13"/>
      <c r="G326" s="13"/>
      <c r="H326" s="13"/>
      <c r="I326" s="13"/>
      <c r="L326" s="14"/>
      <c r="M326" s="14"/>
    </row>
    <row r="327" ht="15.75" customHeight="1">
      <c r="A327" s="12"/>
      <c r="F327" s="13"/>
      <c r="G327" s="13"/>
      <c r="H327" s="13"/>
      <c r="I327" s="13"/>
      <c r="L327" s="14"/>
      <c r="M327" s="14"/>
    </row>
    <row r="328" ht="15.75" customHeight="1">
      <c r="A328" s="12"/>
      <c r="F328" s="13"/>
      <c r="G328" s="13"/>
      <c r="H328" s="13"/>
      <c r="I328" s="13"/>
      <c r="L328" s="14"/>
      <c r="M328" s="14"/>
    </row>
    <row r="329" ht="15.75" customHeight="1">
      <c r="A329" s="12"/>
      <c r="F329" s="13"/>
      <c r="G329" s="13"/>
      <c r="H329" s="13"/>
      <c r="I329" s="13"/>
      <c r="L329" s="14"/>
      <c r="M329" s="14"/>
    </row>
    <row r="330" ht="15.75" customHeight="1">
      <c r="A330" s="12"/>
      <c r="F330" s="13"/>
      <c r="G330" s="13"/>
      <c r="H330" s="13"/>
      <c r="I330" s="13"/>
      <c r="L330" s="14"/>
      <c r="M330" s="14"/>
    </row>
    <row r="331" ht="15.75" customHeight="1">
      <c r="A331" s="12"/>
      <c r="F331" s="13"/>
      <c r="G331" s="13"/>
      <c r="H331" s="13"/>
      <c r="I331" s="13"/>
      <c r="L331" s="14"/>
      <c r="M331" s="14"/>
    </row>
    <row r="332" ht="15.75" customHeight="1">
      <c r="A332" s="12"/>
      <c r="F332" s="13"/>
      <c r="G332" s="13"/>
      <c r="H332" s="13"/>
      <c r="I332" s="13"/>
      <c r="L332" s="14"/>
      <c r="M332" s="14"/>
    </row>
    <row r="333" ht="15.75" customHeight="1">
      <c r="A333" s="12"/>
      <c r="F333" s="13"/>
      <c r="G333" s="13"/>
      <c r="H333" s="13"/>
      <c r="I333" s="13"/>
      <c r="L333" s="14"/>
      <c r="M333" s="14"/>
    </row>
    <row r="334" ht="15.75" customHeight="1">
      <c r="A334" s="12"/>
      <c r="F334" s="13"/>
      <c r="G334" s="13"/>
      <c r="H334" s="13"/>
      <c r="I334" s="13"/>
      <c r="L334" s="14"/>
      <c r="M334" s="14"/>
    </row>
    <row r="335" ht="15.75" customHeight="1">
      <c r="A335" s="12"/>
      <c r="F335" s="13"/>
      <c r="G335" s="13"/>
      <c r="H335" s="13"/>
      <c r="I335" s="13"/>
      <c r="L335" s="14"/>
      <c r="M335" s="14"/>
    </row>
    <row r="336" ht="15.75" customHeight="1">
      <c r="A336" s="12"/>
      <c r="F336" s="13"/>
      <c r="G336" s="13"/>
      <c r="H336" s="13"/>
      <c r="I336" s="13"/>
      <c r="L336" s="14"/>
      <c r="M336" s="14"/>
    </row>
    <row r="337" ht="15.75" customHeight="1">
      <c r="A337" s="12"/>
      <c r="F337" s="13"/>
      <c r="G337" s="13"/>
      <c r="H337" s="13"/>
      <c r="I337" s="13"/>
      <c r="L337" s="14"/>
      <c r="M337" s="14"/>
    </row>
    <row r="338" ht="15.75" customHeight="1">
      <c r="A338" s="12"/>
      <c r="F338" s="13"/>
      <c r="G338" s="13"/>
      <c r="H338" s="13"/>
      <c r="I338" s="13"/>
      <c r="L338" s="14"/>
      <c r="M338" s="14"/>
    </row>
    <row r="339" ht="15.75" customHeight="1">
      <c r="A339" s="12"/>
      <c r="F339" s="13"/>
      <c r="G339" s="13"/>
      <c r="H339" s="13"/>
      <c r="I339" s="13"/>
      <c r="L339" s="14"/>
      <c r="M339" s="14"/>
    </row>
    <row r="340" ht="15.75" customHeight="1">
      <c r="A340" s="12"/>
      <c r="F340" s="13"/>
      <c r="G340" s="13"/>
      <c r="H340" s="13"/>
      <c r="I340" s="13"/>
      <c r="L340" s="14"/>
      <c r="M340" s="14"/>
    </row>
    <row r="341" ht="15.75" customHeight="1">
      <c r="A341" s="12"/>
      <c r="F341" s="13"/>
      <c r="G341" s="13"/>
      <c r="H341" s="13"/>
      <c r="I341" s="13"/>
      <c r="L341" s="14"/>
      <c r="M341" s="14"/>
    </row>
    <row r="342" ht="15.75" customHeight="1">
      <c r="A342" s="12"/>
      <c r="F342" s="13"/>
      <c r="G342" s="13"/>
      <c r="H342" s="13"/>
      <c r="I342" s="13"/>
      <c r="L342" s="14"/>
      <c r="M342" s="14"/>
    </row>
    <row r="343" ht="15.75" customHeight="1">
      <c r="A343" s="12"/>
      <c r="F343" s="13"/>
      <c r="G343" s="13"/>
      <c r="H343" s="13"/>
      <c r="I343" s="13"/>
      <c r="L343" s="14"/>
      <c r="M343" s="14"/>
    </row>
    <row r="344" ht="15.75" customHeight="1">
      <c r="A344" s="12"/>
      <c r="F344" s="13"/>
      <c r="G344" s="13"/>
      <c r="H344" s="13"/>
      <c r="I344" s="13"/>
      <c r="L344" s="14"/>
      <c r="M344" s="14"/>
    </row>
    <row r="345" ht="15.75" customHeight="1">
      <c r="A345" s="12"/>
      <c r="F345" s="13"/>
      <c r="G345" s="13"/>
      <c r="H345" s="13"/>
      <c r="I345" s="13"/>
      <c r="L345" s="14"/>
      <c r="M345" s="14"/>
    </row>
    <row r="346" ht="15.75" customHeight="1">
      <c r="A346" s="12"/>
      <c r="F346" s="13"/>
      <c r="G346" s="13"/>
      <c r="H346" s="13"/>
      <c r="I346" s="13"/>
      <c r="L346" s="14"/>
      <c r="M346" s="14"/>
    </row>
    <row r="347" ht="15.75" customHeight="1">
      <c r="A347" s="12"/>
      <c r="F347" s="13"/>
      <c r="G347" s="13"/>
      <c r="H347" s="13"/>
      <c r="I347" s="13"/>
      <c r="L347" s="14"/>
      <c r="M347" s="14"/>
    </row>
    <row r="348" ht="15.75" customHeight="1">
      <c r="A348" s="12"/>
      <c r="F348" s="13"/>
      <c r="G348" s="13"/>
      <c r="H348" s="13"/>
      <c r="I348" s="13"/>
      <c r="L348" s="14"/>
      <c r="M348" s="14"/>
    </row>
    <row r="349" ht="15.75" customHeight="1">
      <c r="A349" s="12"/>
      <c r="F349" s="13"/>
      <c r="G349" s="13"/>
      <c r="H349" s="13"/>
      <c r="I349" s="13"/>
      <c r="L349" s="14"/>
      <c r="M349" s="14"/>
    </row>
    <row r="350" ht="15.75" customHeight="1">
      <c r="A350" s="12"/>
      <c r="F350" s="13"/>
      <c r="G350" s="13"/>
      <c r="H350" s="13"/>
      <c r="I350" s="13"/>
      <c r="L350" s="14"/>
      <c r="M350" s="14"/>
    </row>
    <row r="351" ht="15.75" customHeight="1">
      <c r="A351" s="12"/>
      <c r="F351" s="13"/>
      <c r="G351" s="13"/>
      <c r="H351" s="13"/>
      <c r="I351" s="13"/>
      <c r="L351" s="14"/>
      <c r="M351" s="14"/>
    </row>
    <row r="352" ht="15.75" customHeight="1">
      <c r="A352" s="12"/>
      <c r="F352" s="13"/>
      <c r="G352" s="13"/>
      <c r="H352" s="13"/>
      <c r="I352" s="13"/>
      <c r="L352" s="14"/>
      <c r="M352" s="14"/>
    </row>
    <row r="353" ht="15.75" customHeight="1">
      <c r="A353" s="12"/>
      <c r="F353" s="13"/>
      <c r="G353" s="13"/>
      <c r="H353" s="13"/>
      <c r="I353" s="13"/>
      <c r="L353" s="14"/>
      <c r="M353" s="14"/>
    </row>
    <row r="354" ht="15.75" customHeight="1">
      <c r="A354" s="12"/>
      <c r="F354" s="13"/>
      <c r="G354" s="13"/>
      <c r="H354" s="13"/>
      <c r="I354" s="13"/>
      <c r="L354" s="14"/>
      <c r="M354" s="14"/>
    </row>
    <row r="355" ht="15.75" customHeight="1">
      <c r="A355" s="12"/>
      <c r="F355" s="13"/>
      <c r="G355" s="13"/>
      <c r="H355" s="13"/>
      <c r="I355" s="13"/>
      <c r="L355" s="14"/>
      <c r="M355" s="14"/>
    </row>
    <row r="356" ht="15.75" customHeight="1">
      <c r="A356" s="12"/>
      <c r="F356" s="13"/>
      <c r="G356" s="13"/>
      <c r="H356" s="13"/>
      <c r="I356" s="13"/>
      <c r="L356" s="14"/>
      <c r="M356" s="14"/>
    </row>
    <row r="357" ht="15.75" customHeight="1">
      <c r="A357" s="12"/>
      <c r="F357" s="13"/>
      <c r="G357" s="13"/>
      <c r="H357" s="13"/>
      <c r="I357" s="13"/>
      <c r="L357" s="14"/>
      <c r="M357" s="14"/>
    </row>
    <row r="358" ht="15.75" customHeight="1">
      <c r="A358" s="12"/>
      <c r="F358" s="13"/>
      <c r="G358" s="13"/>
      <c r="H358" s="13"/>
      <c r="I358" s="13"/>
      <c r="L358" s="14"/>
      <c r="M358" s="14"/>
    </row>
    <row r="359" ht="15.75" customHeight="1">
      <c r="A359" s="12"/>
      <c r="F359" s="13"/>
      <c r="G359" s="13"/>
      <c r="H359" s="13"/>
      <c r="I359" s="13"/>
      <c r="L359" s="14"/>
      <c r="M359" s="14"/>
    </row>
    <row r="360" ht="15.75" customHeight="1">
      <c r="A360" s="12"/>
      <c r="F360" s="13"/>
      <c r="G360" s="13"/>
      <c r="H360" s="13"/>
      <c r="I360" s="13"/>
      <c r="L360" s="14"/>
      <c r="M360" s="14"/>
    </row>
    <row r="361" ht="15.75" customHeight="1">
      <c r="A361" s="12"/>
      <c r="F361" s="13"/>
      <c r="G361" s="13"/>
      <c r="H361" s="13"/>
      <c r="I361" s="13"/>
      <c r="L361" s="14"/>
      <c r="M361" s="14"/>
    </row>
    <row r="362" ht="15.75" customHeight="1">
      <c r="A362" s="12"/>
      <c r="F362" s="13"/>
      <c r="G362" s="13"/>
      <c r="H362" s="13"/>
      <c r="I362" s="13"/>
      <c r="L362" s="14"/>
      <c r="M362" s="14"/>
    </row>
    <row r="363" ht="15.75" customHeight="1">
      <c r="A363" s="12"/>
      <c r="F363" s="13"/>
      <c r="G363" s="13"/>
      <c r="H363" s="13"/>
      <c r="I363" s="13"/>
      <c r="L363" s="14"/>
      <c r="M363" s="14"/>
    </row>
    <row r="364" ht="15.75" customHeight="1">
      <c r="A364" s="12"/>
      <c r="F364" s="13"/>
      <c r="G364" s="13"/>
      <c r="H364" s="13"/>
      <c r="I364" s="13"/>
      <c r="L364" s="14"/>
      <c r="M364" s="14"/>
    </row>
    <row r="365" ht="15.75" customHeight="1">
      <c r="A365" s="12"/>
      <c r="F365" s="13"/>
      <c r="G365" s="13"/>
      <c r="H365" s="13"/>
      <c r="I365" s="13"/>
      <c r="L365" s="14"/>
      <c r="M365" s="14"/>
    </row>
    <row r="366" ht="15.75" customHeight="1">
      <c r="A366" s="12"/>
      <c r="F366" s="13"/>
      <c r="G366" s="13"/>
      <c r="H366" s="13"/>
      <c r="I366" s="13"/>
      <c r="L366" s="14"/>
      <c r="M366" s="14"/>
    </row>
    <row r="367" ht="15.75" customHeight="1">
      <c r="A367" s="12"/>
      <c r="F367" s="13"/>
      <c r="G367" s="13"/>
      <c r="H367" s="13"/>
      <c r="I367" s="13"/>
      <c r="L367" s="14"/>
      <c r="M367" s="14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ABC5D04-005C-45B3-852B-CCA608651A9B}" filter="1" showAutoFilter="1">
      <autoFilter ref="$A$1:$AD$367">
        <filterColumn colId="3">
          <filters>
            <filter val="SM -"/>
            <filter val="AQ -"/>
            <filter val="PO -"/>
            <filter val="SM - Veronica"/>
          </filters>
        </filterColumn>
      </autoFilter>
      <extLst>
        <ext uri="GoogleSheetsCustomDataVersion1">
          <go:sheetsCustomData xmlns:go="http://customooxmlschemas.google.com/" filterViewId="1806068574"/>
        </ext>
      </extLst>
    </customSheetView>
    <customSheetView guid="{7CE8F55E-D06B-4272-AD97-D6139BF3D1C4}" filter="1" showAutoFilter="1">
      <autoFilter ref="$A$87:$AD$367"/>
      <extLst>
        <ext uri="GoogleSheetsCustomDataVersion1">
          <go:sheetsCustomData xmlns:go="http://customooxmlschemas.google.com/" filterViewId="216513265"/>
        </ext>
      </extLst>
    </customSheetView>
    <customSheetView guid="{D33CB927-E62E-4225-8B0A-731E3465C439}" filter="1" showAutoFilter="1">
      <autoFilter ref="$A$1:$AD$367"/>
      <extLst>
        <ext uri="GoogleSheetsCustomDataVersion1">
          <go:sheetsCustomData xmlns:go="http://customooxmlschemas.google.com/" filterViewId="23644110"/>
        </ext>
      </extLst>
    </customSheetView>
    <customSheetView guid="{9FFCB66D-EDD9-4DCC-98D0-DD2139B10787}" filter="1" showAutoFilter="1">
      <autoFilter ref="$A$1:$AD$367"/>
      <extLst>
        <ext uri="GoogleSheetsCustomDataVersion1">
          <go:sheetsCustomData xmlns:go="http://customooxmlschemas.google.com/" filterViewId="278047655"/>
        </ext>
      </extLst>
    </customSheetView>
  </customSheetViews>
  <conditionalFormatting sqref="K2:K367">
    <cfRule type="containsText" dxfId="0" priority="1" operator="containsText" text="Finalizada">
      <formula>NOT(ISERROR(SEARCH(("Finalizada"),(K2))))</formula>
    </cfRule>
  </conditionalFormatting>
  <conditionalFormatting sqref="K2:K367">
    <cfRule type="containsText" dxfId="1" priority="2" operator="containsText" text="Sin Iniciar">
      <formula>NOT(ISERROR(SEARCH(("Sin Iniciar"),(K2))))</formula>
    </cfRule>
  </conditionalFormatting>
  <conditionalFormatting sqref="K2:K367">
    <cfRule type="containsText" dxfId="2" priority="3" operator="containsText" text="A Tiempo">
      <formula>NOT(ISERROR(SEARCH(("A Tiempo"),(K2))))</formula>
    </cfRule>
  </conditionalFormatting>
  <conditionalFormatting sqref="K2:K367">
    <cfRule type="containsText" dxfId="3" priority="4" operator="containsText" text="Impactada">
      <formula>NOT(ISERROR(SEARCH(("Impactada"),(K2))))</formula>
    </cfRule>
  </conditionalFormatting>
  <conditionalFormatting sqref="K2:K367">
    <cfRule type="containsText" dxfId="4" priority="5" operator="containsText" text="Atrasada">
      <formula>NOT(ISERROR(SEARCH(("Atrasada"),(K2))))</formula>
    </cfRule>
  </conditionalFormatting>
  <dataValidations>
    <dataValidation type="list" allowBlank="1" showInputMessage="1" showErrorMessage="1" prompt="Haz clic e introduce un valor de intervalo Equipo!D2:D27" sqref="D2:D189">
      <formula1>Equipo!$E$2:$E$20</formula1>
    </dataValidation>
    <dataValidation type="date" operator="greaterThan" allowBlank="1" showDropDown="1" showInputMessage="1" showErrorMessage="1" prompt="Introduce una fecha. después del 10/2022" sqref="F2:G2">
      <formula1>44835.0</formula1>
    </dataValidation>
    <dataValidation type="custom" allowBlank="1" showDropDown="1" showInputMessage="1" showErrorMessage="1" prompt="La Actividad no puede terminar sin haber iniciado" sqref="J165">
      <formula1>J165&gt;=H165</formula1>
    </dataValidation>
    <dataValidation type="list" allowBlank="1" showInputMessage="1" showErrorMessage="1" prompt="Haz clic e introduce un valor de intervalo Equipo!H2:H27" sqref="E136:E189">
      <formula1>$L$2:$L$30</formula1>
    </dataValidation>
    <dataValidation type="custom" allowBlank="1" showDropDown="1" showInputMessage="1" showErrorMessage="1" prompt="La Actividad no puede terminar sin haber iniciado" sqref="G3:G7 G9:G31 G34:G76 G80 I2:I80 G82 G84 G86 G88:G99 G101:G114 G116:G159 I87:I164 G161:G367 I166:I367">
      <formula1>G2&gt;=F2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4" width="28.0"/>
    <col customWidth="1" min="5" max="5" width="25.0"/>
    <col customWidth="1" min="6" max="6" width="12.63"/>
    <col customWidth="1" min="12" max="13" width="18.0"/>
  </cols>
  <sheetData>
    <row r="1" ht="15.75" customHeight="1">
      <c r="A1" s="31" t="s">
        <v>363</v>
      </c>
      <c r="B1" s="31" t="s">
        <v>364</v>
      </c>
      <c r="C1" s="31" t="s">
        <v>365</v>
      </c>
      <c r="D1" s="31" t="s">
        <v>366</v>
      </c>
      <c r="E1" s="31" t="s">
        <v>367</v>
      </c>
      <c r="F1" s="31" t="s">
        <v>368</v>
      </c>
      <c r="G1" s="31" t="s">
        <v>369</v>
      </c>
      <c r="H1" s="31" t="s">
        <v>370</v>
      </c>
      <c r="I1" s="31" t="s">
        <v>371</v>
      </c>
      <c r="J1" s="31" t="s">
        <v>372</v>
      </c>
      <c r="L1" s="31" t="s">
        <v>4</v>
      </c>
      <c r="M1" s="31" t="s">
        <v>373</v>
      </c>
    </row>
    <row r="2" ht="15.75" customHeight="1">
      <c r="A2" s="32" t="s">
        <v>374</v>
      </c>
      <c r="B2" s="32"/>
      <c r="C2" s="32"/>
      <c r="D2" s="32"/>
      <c r="E2" s="32" t="str">
        <f t="shared" ref="E2:E7" si="1">CONCATENATE(A2," - ",B2)</f>
        <v>EQ Scrum - </v>
      </c>
      <c r="F2" s="32"/>
      <c r="G2" s="33"/>
      <c r="H2" s="33"/>
      <c r="I2" s="32"/>
      <c r="J2" s="32"/>
    </row>
    <row r="3" ht="15.75" customHeight="1">
      <c r="A3" s="34" t="s">
        <v>375</v>
      </c>
      <c r="B3" s="34" t="s">
        <v>376</v>
      </c>
      <c r="C3" s="32"/>
      <c r="D3" s="32"/>
      <c r="E3" s="32" t="str">
        <f t="shared" si="1"/>
        <v>LT front - Tatiana</v>
      </c>
      <c r="F3" s="32"/>
      <c r="G3" s="33"/>
      <c r="H3" s="33"/>
      <c r="I3" s="32"/>
      <c r="J3" s="32"/>
    </row>
    <row r="4" ht="15.75" customHeight="1">
      <c r="A4" s="34" t="s">
        <v>377</v>
      </c>
      <c r="B4" s="34" t="s">
        <v>378</v>
      </c>
      <c r="C4" s="32"/>
      <c r="D4" s="32"/>
      <c r="E4" s="32" t="str">
        <f t="shared" si="1"/>
        <v>LT Backend - Taba</v>
      </c>
      <c r="F4" s="32"/>
      <c r="G4" s="33"/>
      <c r="H4" s="33"/>
      <c r="I4" s="32"/>
      <c r="J4" s="32"/>
    </row>
    <row r="5" ht="15.75" customHeight="1">
      <c r="A5" s="32" t="s">
        <v>379</v>
      </c>
      <c r="B5" s="34" t="s">
        <v>380</v>
      </c>
      <c r="C5" s="32"/>
      <c r="D5" s="32"/>
      <c r="E5" s="32" t="str">
        <f t="shared" si="1"/>
        <v>PO - Carolina</v>
      </c>
      <c r="F5" s="32"/>
      <c r="G5" s="33"/>
      <c r="H5" s="33"/>
      <c r="I5" s="32"/>
      <c r="J5" s="32"/>
    </row>
    <row r="6" ht="15.75" customHeight="1">
      <c r="A6" s="34" t="s">
        <v>381</v>
      </c>
      <c r="B6" s="34" t="s">
        <v>382</v>
      </c>
      <c r="C6" s="32"/>
      <c r="D6" s="32"/>
      <c r="E6" s="32" t="str">
        <f t="shared" si="1"/>
        <v>QA - Elian</v>
      </c>
      <c r="F6" s="32"/>
      <c r="G6" s="33"/>
      <c r="H6" s="33"/>
      <c r="I6" s="32"/>
      <c r="J6" s="32"/>
    </row>
    <row r="7" ht="15.75" customHeight="1">
      <c r="A7" s="32" t="s">
        <v>383</v>
      </c>
      <c r="B7" s="34" t="s">
        <v>384</v>
      </c>
      <c r="C7" s="32"/>
      <c r="D7" s="32"/>
      <c r="E7" s="32" t="str">
        <f t="shared" si="1"/>
        <v>SM - Veronica</v>
      </c>
      <c r="F7" s="32"/>
      <c r="G7" s="33"/>
      <c r="H7" s="33"/>
      <c r="I7" s="32"/>
      <c r="J7" s="32"/>
    </row>
    <row r="8" ht="15.75" customHeight="1">
      <c r="A8" s="34" t="s">
        <v>385</v>
      </c>
      <c r="B8" s="34" t="s">
        <v>386</v>
      </c>
      <c r="C8" s="32"/>
      <c r="D8" s="32"/>
      <c r="E8" s="32"/>
      <c r="G8" s="35"/>
      <c r="H8" s="35"/>
    </row>
    <row r="9" ht="15.75" customHeight="1">
      <c r="A9" s="34" t="s">
        <v>387</v>
      </c>
      <c r="B9" s="34" t="s">
        <v>388</v>
      </c>
      <c r="C9" s="32"/>
      <c r="D9" s="32"/>
      <c r="E9" s="32"/>
      <c r="G9" s="35"/>
      <c r="H9" s="35"/>
    </row>
    <row r="10" ht="15.75" customHeight="1">
      <c r="A10" s="34" t="s">
        <v>385</v>
      </c>
      <c r="B10" s="34" t="s">
        <v>389</v>
      </c>
      <c r="C10" s="32"/>
      <c r="D10" s="32"/>
      <c r="E10" s="32"/>
      <c r="G10" s="35"/>
      <c r="H10" s="35"/>
    </row>
    <row r="11" ht="15.75" customHeight="1">
      <c r="A11" s="34" t="s">
        <v>390</v>
      </c>
      <c r="B11" s="34" t="s">
        <v>391</v>
      </c>
      <c r="C11" s="32"/>
      <c r="D11" s="32"/>
      <c r="E11" s="32"/>
      <c r="G11" s="35"/>
      <c r="H11" s="35"/>
    </row>
    <row r="12" ht="15.75" customHeight="1">
      <c r="A12" s="34" t="s">
        <v>390</v>
      </c>
      <c r="B12" s="34" t="s">
        <v>392</v>
      </c>
      <c r="C12" s="32"/>
      <c r="D12" s="32"/>
      <c r="E12" s="32"/>
      <c r="G12" s="35"/>
      <c r="H12" s="35"/>
    </row>
    <row r="13" ht="15.75" customHeight="1">
      <c r="A13" s="34" t="s">
        <v>393</v>
      </c>
      <c r="B13" s="34" t="s">
        <v>394</v>
      </c>
      <c r="C13" s="32"/>
      <c r="D13" s="32"/>
      <c r="E13" s="32"/>
      <c r="G13" s="35"/>
      <c r="H13" s="35"/>
    </row>
    <row r="14" ht="15.75" customHeight="1">
      <c r="A14" s="32"/>
      <c r="B14" s="32"/>
      <c r="C14" s="32"/>
      <c r="D14" s="32"/>
      <c r="E14" s="32"/>
      <c r="G14" s="35"/>
      <c r="H14" s="35"/>
    </row>
    <row r="15" ht="15.75" customHeight="1">
      <c r="A15" s="32"/>
      <c r="B15" s="32"/>
      <c r="C15" s="32"/>
      <c r="D15" s="32"/>
      <c r="E15" s="32"/>
      <c r="G15" s="35"/>
      <c r="H15" s="35"/>
    </row>
    <row r="16" ht="15.75" customHeight="1">
      <c r="A16" s="32"/>
      <c r="B16" s="32"/>
      <c r="C16" s="32"/>
      <c r="D16" s="32"/>
      <c r="E16" s="32"/>
      <c r="G16" s="35"/>
      <c r="H16" s="35"/>
    </row>
    <row r="17" ht="15.75" customHeight="1">
      <c r="A17" s="32"/>
      <c r="B17" s="32"/>
      <c r="C17" s="32"/>
      <c r="D17" s="32"/>
      <c r="E17" s="32"/>
      <c r="G17" s="35"/>
      <c r="H17" s="35"/>
    </row>
    <row r="18" ht="15.75" customHeight="1">
      <c r="A18" s="32"/>
      <c r="B18" s="32"/>
      <c r="C18" s="32"/>
      <c r="D18" s="32"/>
      <c r="E18" s="32"/>
      <c r="G18" s="35"/>
      <c r="H18" s="35"/>
    </row>
    <row r="19" ht="15.75" customHeight="1">
      <c r="A19" s="32"/>
      <c r="B19" s="32"/>
      <c r="C19" s="32"/>
      <c r="D19" s="32"/>
      <c r="E19" s="32"/>
      <c r="G19" s="35"/>
      <c r="H19" s="35"/>
    </row>
    <row r="20" ht="15.75" customHeight="1">
      <c r="A20" s="32"/>
      <c r="B20" s="32"/>
      <c r="C20" s="32"/>
      <c r="D20" s="32"/>
      <c r="E20" s="32"/>
      <c r="G20" s="35"/>
      <c r="H20" s="35"/>
    </row>
    <row r="21" ht="15.75" customHeight="1">
      <c r="G21" s="35"/>
      <c r="H21" s="35"/>
    </row>
    <row r="22" ht="15.75" customHeight="1">
      <c r="G22" s="35"/>
      <c r="H22" s="35"/>
    </row>
    <row r="23" ht="15.75" customHeight="1">
      <c r="G23" s="35"/>
      <c r="H23" s="35"/>
    </row>
    <row r="24" ht="15.75" customHeight="1">
      <c r="G24" s="35"/>
      <c r="H24" s="35"/>
    </row>
    <row r="25" ht="15.75" customHeight="1">
      <c r="G25" s="35"/>
      <c r="H25" s="35"/>
    </row>
    <row r="26" ht="15.75" customHeight="1">
      <c r="G26" s="35"/>
      <c r="H26" s="35"/>
    </row>
    <row r="27" ht="15.75" customHeight="1">
      <c r="G27" s="35"/>
      <c r="H27" s="35"/>
    </row>
    <row r="28" ht="15.75" customHeight="1">
      <c r="G28" s="35"/>
      <c r="H28" s="35"/>
    </row>
    <row r="29" ht="15.75" customHeight="1">
      <c r="G29" s="35"/>
      <c r="H29" s="35"/>
    </row>
    <row r="30" ht="15.75" customHeight="1">
      <c r="G30" s="35"/>
      <c r="H30" s="35"/>
    </row>
    <row r="31" ht="15.75" customHeight="1">
      <c r="G31" s="35"/>
      <c r="H31" s="35"/>
    </row>
    <row r="32" ht="15.75" customHeight="1">
      <c r="G32" s="35"/>
      <c r="H32" s="35"/>
    </row>
    <row r="33" ht="15.75" customHeight="1">
      <c r="G33" s="35"/>
      <c r="H33" s="35"/>
    </row>
    <row r="34" ht="15.75" customHeight="1">
      <c r="G34" s="35"/>
      <c r="H34" s="35"/>
    </row>
    <row r="35" ht="15.75" customHeight="1">
      <c r="G35" s="35"/>
      <c r="H35" s="35"/>
    </row>
    <row r="36" ht="15.75" customHeight="1">
      <c r="G36" s="35"/>
      <c r="H36" s="35"/>
    </row>
    <row r="37" ht="15.75" customHeight="1">
      <c r="G37" s="35"/>
      <c r="H37" s="35"/>
    </row>
    <row r="38" ht="15.75" customHeight="1">
      <c r="G38" s="35"/>
      <c r="H38" s="35"/>
    </row>
    <row r="39" ht="15.75" customHeight="1">
      <c r="G39" s="35"/>
      <c r="H39" s="35"/>
    </row>
    <row r="40" ht="15.75" customHeight="1">
      <c r="G40" s="35"/>
      <c r="H40" s="35"/>
    </row>
    <row r="41" ht="15.75" customHeight="1">
      <c r="G41" s="35"/>
      <c r="H41" s="35"/>
    </row>
    <row r="42" ht="15.75" customHeight="1">
      <c r="G42" s="35"/>
      <c r="H42" s="35"/>
    </row>
    <row r="43" ht="15.75" customHeight="1">
      <c r="G43" s="35"/>
      <c r="H43" s="35"/>
    </row>
    <row r="44" ht="15.75" customHeight="1">
      <c r="G44" s="35"/>
      <c r="H44" s="35"/>
    </row>
    <row r="45" ht="15.75" customHeight="1">
      <c r="G45" s="35"/>
      <c r="H45" s="35"/>
    </row>
    <row r="46" ht="15.75" customHeight="1">
      <c r="G46" s="35"/>
      <c r="H46" s="35"/>
    </row>
    <row r="47" ht="15.75" customHeight="1">
      <c r="G47" s="35"/>
      <c r="H47" s="35"/>
    </row>
    <row r="48" ht="15.75" customHeight="1">
      <c r="G48" s="35"/>
      <c r="H48" s="35"/>
    </row>
    <row r="49" ht="15.75" customHeight="1">
      <c r="G49" s="35"/>
      <c r="H49" s="35"/>
    </row>
    <row r="50" ht="15.75" customHeight="1">
      <c r="G50" s="35"/>
      <c r="H50" s="35"/>
    </row>
    <row r="51" ht="15.75" customHeight="1">
      <c r="G51" s="35"/>
      <c r="H51" s="35"/>
    </row>
    <row r="52" ht="15.75" customHeight="1">
      <c r="G52" s="35"/>
      <c r="H52" s="35"/>
    </row>
    <row r="53" ht="15.75" customHeight="1">
      <c r="G53" s="35"/>
      <c r="H53" s="35"/>
    </row>
    <row r="54" ht="15.75" customHeight="1">
      <c r="G54" s="35"/>
      <c r="H54" s="35"/>
    </row>
    <row r="55" ht="15.75" customHeight="1">
      <c r="G55" s="35"/>
      <c r="H55" s="35"/>
    </row>
    <row r="56" ht="15.75" customHeight="1">
      <c r="G56" s="35"/>
      <c r="H56" s="35"/>
    </row>
    <row r="57" ht="15.75" customHeight="1">
      <c r="G57" s="35"/>
      <c r="H57" s="35"/>
    </row>
    <row r="58" ht="15.75" customHeight="1">
      <c r="G58" s="35"/>
      <c r="H58" s="35"/>
    </row>
    <row r="59" ht="15.75" customHeight="1">
      <c r="G59" s="35"/>
      <c r="H59" s="35"/>
    </row>
    <row r="60" ht="15.75" customHeight="1">
      <c r="G60" s="35"/>
      <c r="H60" s="35"/>
    </row>
    <row r="61" ht="15.75" customHeight="1">
      <c r="G61" s="35"/>
      <c r="H61" s="35"/>
    </row>
    <row r="62" ht="15.75" customHeight="1">
      <c r="G62" s="35"/>
      <c r="H62" s="35"/>
    </row>
    <row r="63" ht="15.75" customHeight="1">
      <c r="G63" s="35"/>
      <c r="H63" s="35"/>
    </row>
    <row r="64" ht="15.75" customHeight="1">
      <c r="G64" s="35"/>
      <c r="H64" s="35"/>
    </row>
    <row r="65" ht="15.75" customHeight="1">
      <c r="G65" s="35"/>
      <c r="H65" s="35"/>
    </row>
    <row r="66" ht="15.75" customHeight="1">
      <c r="G66" s="35"/>
      <c r="H66" s="35"/>
    </row>
    <row r="67" ht="15.75" customHeight="1">
      <c r="G67" s="35"/>
      <c r="H67" s="35"/>
    </row>
    <row r="68" ht="15.75" customHeight="1">
      <c r="G68" s="35"/>
      <c r="H68" s="35"/>
    </row>
    <row r="69" ht="15.75" customHeight="1">
      <c r="G69" s="35"/>
      <c r="H69" s="35"/>
    </row>
    <row r="70" ht="15.75" customHeight="1">
      <c r="G70" s="35"/>
      <c r="H70" s="35"/>
    </row>
    <row r="71" ht="15.75" customHeight="1">
      <c r="G71" s="35"/>
      <c r="H71" s="35"/>
    </row>
    <row r="72" ht="15.75" customHeight="1">
      <c r="G72" s="35"/>
      <c r="H72" s="35"/>
    </row>
    <row r="73" ht="15.75" customHeight="1">
      <c r="G73" s="35"/>
      <c r="H73" s="35"/>
    </row>
    <row r="74" ht="15.75" customHeight="1">
      <c r="G74" s="35"/>
      <c r="H74" s="35"/>
    </row>
    <row r="75" ht="15.75" customHeight="1">
      <c r="G75" s="35"/>
      <c r="H75" s="35"/>
    </row>
    <row r="76" ht="15.75" customHeight="1">
      <c r="G76" s="35"/>
      <c r="H76" s="35"/>
    </row>
    <row r="77" ht="15.75" customHeight="1">
      <c r="G77" s="35"/>
      <c r="H77" s="35"/>
    </row>
    <row r="78" ht="15.75" customHeight="1">
      <c r="G78" s="35"/>
      <c r="H78" s="35"/>
    </row>
    <row r="79" ht="15.75" customHeight="1">
      <c r="G79" s="35"/>
      <c r="H79" s="35"/>
    </row>
    <row r="80" ht="15.75" customHeight="1">
      <c r="G80" s="35"/>
      <c r="H80" s="35"/>
    </row>
    <row r="81" ht="15.75" customHeight="1">
      <c r="G81" s="35"/>
      <c r="H81" s="35"/>
    </row>
    <row r="82" ht="15.75" customHeight="1">
      <c r="G82" s="35"/>
      <c r="H82" s="35"/>
    </row>
    <row r="83" ht="15.75" customHeight="1">
      <c r="G83" s="35"/>
      <c r="H83" s="35"/>
    </row>
    <row r="84" ht="15.75" customHeight="1">
      <c r="G84" s="35"/>
      <c r="H84" s="35"/>
    </row>
    <row r="85" ht="15.75" customHeight="1">
      <c r="G85" s="35"/>
      <c r="H85" s="35"/>
    </row>
    <row r="86" ht="15.75" customHeight="1">
      <c r="G86" s="35"/>
      <c r="H86" s="35"/>
    </row>
    <row r="87" ht="15.75" customHeight="1">
      <c r="G87" s="35"/>
      <c r="H87" s="35"/>
    </row>
    <row r="88" ht="15.75" customHeight="1">
      <c r="G88" s="35"/>
      <c r="H88" s="35"/>
    </row>
    <row r="89" ht="15.75" customHeight="1">
      <c r="G89" s="35"/>
      <c r="H89" s="35"/>
    </row>
    <row r="90" ht="15.75" customHeight="1">
      <c r="G90" s="35"/>
      <c r="H90" s="35"/>
    </row>
    <row r="91" ht="15.75" customHeight="1">
      <c r="G91" s="35"/>
      <c r="H91" s="35"/>
    </row>
    <row r="92" ht="15.75" customHeight="1">
      <c r="G92" s="35"/>
      <c r="H92" s="35"/>
    </row>
    <row r="93" ht="15.75" customHeight="1">
      <c r="G93" s="35"/>
      <c r="H93" s="35"/>
    </row>
    <row r="94" ht="15.75" customHeight="1">
      <c r="G94" s="35"/>
      <c r="H94" s="35"/>
    </row>
    <row r="95" ht="15.75" customHeight="1">
      <c r="G95" s="35"/>
      <c r="H95" s="35"/>
    </row>
    <row r="96" ht="15.75" customHeight="1">
      <c r="G96" s="35"/>
      <c r="H96" s="35"/>
    </row>
    <row r="97" ht="15.75" customHeight="1">
      <c r="G97" s="35"/>
      <c r="H97" s="35"/>
    </row>
    <row r="98" ht="15.75" customHeight="1">
      <c r="G98" s="35"/>
      <c r="H98" s="35"/>
    </row>
    <row r="99" ht="15.75" customHeight="1">
      <c r="G99" s="35"/>
      <c r="H99" s="35"/>
    </row>
    <row r="100" ht="15.75" customHeight="1">
      <c r="G100" s="35"/>
      <c r="H100" s="35"/>
    </row>
    <row r="101" ht="15.75" customHeight="1">
      <c r="G101" s="35"/>
      <c r="H101" s="35"/>
    </row>
    <row r="102" ht="15.75" customHeight="1">
      <c r="G102" s="35"/>
      <c r="H102" s="35"/>
    </row>
    <row r="103" ht="15.75" customHeight="1">
      <c r="G103" s="35"/>
      <c r="H103" s="35"/>
    </row>
    <row r="104" ht="15.75" customHeight="1">
      <c r="G104" s="35"/>
      <c r="H104" s="35"/>
    </row>
    <row r="105" ht="15.75" customHeight="1">
      <c r="G105" s="35"/>
      <c r="H105" s="35"/>
    </row>
    <row r="106" ht="15.75" customHeight="1">
      <c r="G106" s="35"/>
      <c r="H106" s="35"/>
    </row>
    <row r="107" ht="15.75" customHeight="1">
      <c r="G107" s="35"/>
      <c r="H107" s="35"/>
    </row>
    <row r="108" ht="15.75" customHeight="1">
      <c r="G108" s="35"/>
      <c r="H108" s="35"/>
    </row>
    <row r="109" ht="15.75" customHeight="1">
      <c r="G109" s="35"/>
      <c r="H109" s="35"/>
    </row>
    <row r="110" ht="15.75" customHeight="1">
      <c r="G110" s="35"/>
      <c r="H110" s="35"/>
    </row>
    <row r="111" ht="15.75" customHeight="1">
      <c r="G111" s="35"/>
      <c r="H111" s="35"/>
    </row>
    <row r="112" ht="15.75" customHeight="1">
      <c r="G112" s="35"/>
      <c r="H112" s="35"/>
    </row>
    <row r="113" ht="15.75" customHeight="1">
      <c r="G113" s="35"/>
      <c r="H113" s="35"/>
    </row>
    <row r="114" ht="15.75" customHeight="1">
      <c r="G114" s="35"/>
      <c r="H114" s="35"/>
    </row>
    <row r="115" ht="15.75" customHeight="1">
      <c r="G115" s="35"/>
      <c r="H115" s="35"/>
    </row>
    <row r="116" ht="15.75" customHeight="1">
      <c r="G116" s="35"/>
      <c r="H116" s="35"/>
    </row>
    <row r="117" ht="15.75" customHeight="1">
      <c r="G117" s="35"/>
      <c r="H117" s="35"/>
    </row>
    <row r="118" ht="15.75" customHeight="1">
      <c r="G118" s="35"/>
      <c r="H118" s="35"/>
    </row>
    <row r="119" ht="15.75" customHeight="1">
      <c r="G119" s="35"/>
      <c r="H119" s="35"/>
    </row>
    <row r="120" ht="15.75" customHeight="1">
      <c r="G120" s="35"/>
      <c r="H120" s="35"/>
    </row>
    <row r="121" ht="15.75" customHeight="1">
      <c r="G121" s="35"/>
      <c r="H121" s="35"/>
    </row>
    <row r="122" ht="15.75" customHeight="1">
      <c r="G122" s="35"/>
      <c r="H122" s="35"/>
    </row>
    <row r="123" ht="15.75" customHeight="1">
      <c r="G123" s="35"/>
      <c r="H123" s="35"/>
    </row>
    <row r="124" ht="15.75" customHeight="1">
      <c r="G124" s="35"/>
      <c r="H124" s="35"/>
    </row>
    <row r="125" ht="15.75" customHeight="1">
      <c r="G125" s="35"/>
      <c r="H125" s="35"/>
    </row>
    <row r="126" ht="15.75" customHeight="1">
      <c r="G126" s="35"/>
      <c r="H126" s="35"/>
    </row>
    <row r="127" ht="15.75" customHeight="1">
      <c r="G127" s="35"/>
      <c r="H127" s="35"/>
    </row>
    <row r="128" ht="15.75" customHeight="1">
      <c r="G128" s="35"/>
      <c r="H128" s="35"/>
    </row>
    <row r="129" ht="15.75" customHeight="1">
      <c r="G129" s="35"/>
      <c r="H129" s="35"/>
    </row>
    <row r="130" ht="15.75" customHeight="1">
      <c r="G130" s="35"/>
      <c r="H130" s="35"/>
    </row>
    <row r="131" ht="15.75" customHeight="1">
      <c r="G131" s="35"/>
      <c r="H131" s="35"/>
    </row>
    <row r="132" ht="15.75" customHeight="1">
      <c r="G132" s="35"/>
      <c r="H132" s="35"/>
    </row>
    <row r="133" ht="15.75" customHeight="1">
      <c r="G133" s="35"/>
      <c r="H133" s="35"/>
    </row>
    <row r="134" ht="15.75" customHeight="1">
      <c r="G134" s="35"/>
      <c r="H134" s="35"/>
    </row>
    <row r="135" ht="15.75" customHeight="1">
      <c r="G135" s="35"/>
      <c r="H135" s="35"/>
    </row>
    <row r="136" ht="15.75" customHeight="1">
      <c r="G136" s="35"/>
      <c r="H136" s="35"/>
    </row>
    <row r="137" ht="15.75" customHeight="1">
      <c r="G137" s="35"/>
      <c r="H137" s="35"/>
    </row>
    <row r="138" ht="15.75" customHeight="1">
      <c r="G138" s="35"/>
      <c r="H138" s="35"/>
    </row>
    <row r="139" ht="15.75" customHeight="1">
      <c r="G139" s="35"/>
      <c r="H139" s="35"/>
    </row>
    <row r="140" ht="15.75" customHeight="1">
      <c r="G140" s="35"/>
      <c r="H140" s="35"/>
    </row>
    <row r="141" ht="15.75" customHeight="1">
      <c r="G141" s="35"/>
      <c r="H141" s="35"/>
    </row>
    <row r="142" ht="15.75" customHeight="1">
      <c r="G142" s="35"/>
      <c r="H142" s="35"/>
    </row>
    <row r="143" ht="15.75" customHeight="1">
      <c r="G143" s="35"/>
      <c r="H143" s="35"/>
    </row>
    <row r="144" ht="15.75" customHeight="1">
      <c r="G144" s="35"/>
      <c r="H144" s="35"/>
    </row>
    <row r="145" ht="15.75" customHeight="1">
      <c r="G145" s="35"/>
      <c r="H145" s="35"/>
    </row>
    <row r="146" ht="15.75" customHeight="1">
      <c r="G146" s="35"/>
      <c r="H146" s="35"/>
    </row>
    <row r="147" ht="15.75" customHeight="1">
      <c r="G147" s="35"/>
      <c r="H147" s="35"/>
    </row>
    <row r="148" ht="15.75" customHeight="1">
      <c r="G148" s="35"/>
      <c r="H148" s="35"/>
    </row>
    <row r="149" ht="15.75" customHeight="1">
      <c r="G149" s="35"/>
      <c r="H149" s="35"/>
    </row>
    <row r="150" ht="15.75" customHeight="1">
      <c r="G150" s="35"/>
      <c r="H150" s="35"/>
    </row>
    <row r="151" ht="15.75" customHeight="1">
      <c r="G151" s="35"/>
      <c r="H151" s="35"/>
    </row>
    <row r="152" ht="15.75" customHeight="1">
      <c r="G152" s="35"/>
      <c r="H152" s="35"/>
    </row>
    <row r="153" ht="15.75" customHeight="1">
      <c r="G153" s="35"/>
      <c r="H153" s="35"/>
    </row>
    <row r="154" ht="15.75" customHeight="1">
      <c r="G154" s="35"/>
      <c r="H154" s="35"/>
    </row>
    <row r="155" ht="15.75" customHeight="1">
      <c r="G155" s="35"/>
      <c r="H155" s="35"/>
    </row>
    <row r="156" ht="15.75" customHeight="1">
      <c r="G156" s="35"/>
      <c r="H156" s="35"/>
    </row>
    <row r="157" ht="15.75" customHeight="1">
      <c r="G157" s="35"/>
      <c r="H157" s="35"/>
    </row>
    <row r="158" ht="15.75" customHeight="1">
      <c r="G158" s="35"/>
      <c r="H158" s="35"/>
    </row>
    <row r="159" ht="15.75" customHeight="1">
      <c r="G159" s="35"/>
      <c r="H159" s="35"/>
    </row>
    <row r="160" ht="15.75" customHeight="1">
      <c r="G160" s="35"/>
      <c r="H160" s="35"/>
    </row>
    <row r="161" ht="15.75" customHeight="1">
      <c r="G161" s="35"/>
      <c r="H161" s="35"/>
    </row>
    <row r="162" ht="15.75" customHeight="1">
      <c r="G162" s="35"/>
      <c r="H162" s="35"/>
    </row>
    <row r="163" ht="15.75" customHeight="1">
      <c r="G163" s="35"/>
      <c r="H163" s="35"/>
    </row>
    <row r="164" ht="15.75" customHeight="1">
      <c r="G164" s="35"/>
      <c r="H164" s="35"/>
    </row>
    <row r="165" ht="15.75" customHeight="1">
      <c r="G165" s="35"/>
      <c r="H165" s="35"/>
    </row>
    <row r="166" ht="15.75" customHeight="1">
      <c r="G166" s="35"/>
      <c r="H166" s="35"/>
    </row>
    <row r="167" ht="15.75" customHeight="1">
      <c r="G167" s="35"/>
      <c r="H167" s="35"/>
    </row>
    <row r="168" ht="15.75" customHeight="1">
      <c r="G168" s="35"/>
      <c r="H168" s="35"/>
    </row>
    <row r="169" ht="15.75" customHeight="1">
      <c r="G169" s="35"/>
      <c r="H169" s="35"/>
    </row>
    <row r="170" ht="15.75" customHeight="1">
      <c r="G170" s="35"/>
      <c r="H170" s="35"/>
    </row>
    <row r="171" ht="15.75" customHeight="1">
      <c r="G171" s="35"/>
      <c r="H171" s="35"/>
    </row>
    <row r="172" ht="15.75" customHeight="1">
      <c r="G172" s="35"/>
      <c r="H172" s="35"/>
    </row>
    <row r="173" ht="15.75" customHeight="1">
      <c r="G173" s="35"/>
      <c r="H173" s="35"/>
    </row>
    <row r="174" ht="15.75" customHeight="1">
      <c r="G174" s="35"/>
      <c r="H174" s="35"/>
    </row>
    <row r="175" ht="15.75" customHeight="1">
      <c r="G175" s="35"/>
      <c r="H175" s="35"/>
    </row>
    <row r="176" ht="15.75" customHeight="1">
      <c r="G176" s="35"/>
      <c r="H176" s="35"/>
    </row>
    <row r="177" ht="15.75" customHeight="1">
      <c r="G177" s="35"/>
      <c r="H177" s="35"/>
    </row>
    <row r="178" ht="15.75" customHeight="1">
      <c r="G178" s="35"/>
      <c r="H178" s="35"/>
    </row>
    <row r="179" ht="15.75" customHeight="1">
      <c r="G179" s="35"/>
      <c r="H179" s="35"/>
    </row>
    <row r="180" ht="15.75" customHeight="1">
      <c r="G180" s="35"/>
      <c r="H180" s="35"/>
    </row>
    <row r="181" ht="15.75" customHeight="1">
      <c r="G181" s="35"/>
      <c r="H181" s="35"/>
    </row>
    <row r="182" ht="15.75" customHeight="1">
      <c r="G182" s="35"/>
      <c r="H182" s="35"/>
    </row>
    <row r="183" ht="15.75" customHeight="1">
      <c r="G183" s="35"/>
      <c r="H183" s="35"/>
    </row>
    <row r="184" ht="15.75" customHeight="1">
      <c r="G184" s="35"/>
      <c r="H184" s="35"/>
    </row>
    <row r="185" ht="15.75" customHeight="1">
      <c r="G185" s="35"/>
      <c r="H185" s="35"/>
    </row>
    <row r="186" ht="15.75" customHeight="1">
      <c r="G186" s="35"/>
      <c r="H186" s="35"/>
    </row>
    <row r="187" ht="15.75" customHeight="1">
      <c r="G187" s="35"/>
      <c r="H187" s="35"/>
    </row>
    <row r="188" ht="15.75" customHeight="1">
      <c r="G188" s="35"/>
      <c r="H188" s="35"/>
    </row>
    <row r="189" ht="15.75" customHeight="1">
      <c r="G189" s="35"/>
      <c r="H189" s="35"/>
    </row>
    <row r="190" ht="15.75" customHeight="1">
      <c r="G190" s="35"/>
      <c r="H190" s="35"/>
    </row>
    <row r="191" ht="15.75" customHeight="1">
      <c r="G191" s="35"/>
      <c r="H191" s="35"/>
    </row>
    <row r="192" ht="15.75" customHeight="1">
      <c r="G192" s="35"/>
      <c r="H192" s="35"/>
    </row>
    <row r="193" ht="15.75" customHeight="1">
      <c r="G193" s="35"/>
      <c r="H193" s="35"/>
    </row>
    <row r="194" ht="15.75" customHeight="1">
      <c r="G194" s="35"/>
      <c r="H194" s="35"/>
    </row>
    <row r="195" ht="15.75" customHeight="1">
      <c r="G195" s="35"/>
      <c r="H195" s="35"/>
    </row>
    <row r="196" ht="15.75" customHeight="1">
      <c r="G196" s="35"/>
      <c r="H196" s="35"/>
    </row>
    <row r="197" ht="15.75" customHeight="1">
      <c r="G197" s="35"/>
      <c r="H197" s="35"/>
    </row>
    <row r="198" ht="15.75" customHeight="1">
      <c r="G198" s="35"/>
      <c r="H198" s="35"/>
    </row>
    <row r="199" ht="15.75" customHeight="1">
      <c r="G199" s="35"/>
      <c r="H199" s="35"/>
    </row>
    <row r="200" ht="15.75" customHeight="1">
      <c r="G200" s="35"/>
      <c r="H200" s="35"/>
    </row>
    <row r="201" ht="15.75" customHeight="1">
      <c r="G201" s="35"/>
      <c r="H201" s="35"/>
    </row>
    <row r="202" ht="15.75" customHeight="1">
      <c r="G202" s="35"/>
      <c r="H202" s="35"/>
    </row>
    <row r="203" ht="15.75" customHeight="1">
      <c r="G203" s="35"/>
      <c r="H203" s="35"/>
    </row>
    <row r="204" ht="15.75" customHeight="1">
      <c r="G204" s="35"/>
      <c r="H204" s="35"/>
    </row>
    <row r="205" ht="15.75" customHeight="1">
      <c r="G205" s="35"/>
      <c r="H205" s="35"/>
    </row>
    <row r="206" ht="15.75" customHeight="1">
      <c r="G206" s="35"/>
      <c r="H206" s="35"/>
    </row>
    <row r="207" ht="15.75" customHeight="1">
      <c r="G207" s="35"/>
      <c r="H207" s="35"/>
    </row>
    <row r="208" ht="15.75" customHeight="1">
      <c r="G208" s="35"/>
      <c r="H208" s="35"/>
    </row>
    <row r="209" ht="15.75" customHeight="1">
      <c r="G209" s="35"/>
      <c r="H209" s="35"/>
    </row>
    <row r="210" ht="15.75" customHeight="1">
      <c r="G210" s="35"/>
      <c r="H210" s="35"/>
    </row>
    <row r="211" ht="15.75" customHeight="1">
      <c r="G211" s="35"/>
      <c r="H211" s="35"/>
    </row>
    <row r="212" ht="15.75" customHeight="1">
      <c r="G212" s="35"/>
      <c r="H212" s="35"/>
    </row>
    <row r="213" ht="15.75" customHeight="1">
      <c r="G213" s="35"/>
      <c r="H213" s="35"/>
    </row>
    <row r="214" ht="15.75" customHeight="1">
      <c r="G214" s="35"/>
      <c r="H214" s="35"/>
    </row>
    <row r="215" ht="15.75" customHeight="1">
      <c r="G215" s="35"/>
      <c r="H215" s="35"/>
    </row>
    <row r="216" ht="15.75" customHeight="1">
      <c r="G216" s="35"/>
      <c r="H216" s="35"/>
    </row>
    <row r="217" ht="15.75" customHeight="1">
      <c r="G217" s="35"/>
      <c r="H217" s="35"/>
    </row>
    <row r="218" ht="15.75" customHeight="1">
      <c r="G218" s="35"/>
      <c r="H218" s="35"/>
    </row>
    <row r="219" ht="15.75" customHeight="1">
      <c r="G219" s="35"/>
      <c r="H219" s="35"/>
    </row>
    <row r="220" ht="15.75" customHeight="1">
      <c r="G220" s="35"/>
      <c r="H220" s="35"/>
    </row>
    <row r="221" ht="15.75" customHeight="1">
      <c r="G221" s="35"/>
      <c r="H221" s="35"/>
    </row>
    <row r="222" ht="15.75" customHeight="1">
      <c r="G222" s="35"/>
      <c r="H222" s="3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date" operator="greaterThan" allowBlank="1" showDropDown="1" showInputMessage="1" showErrorMessage="1" prompt="Introduce una fecha. después del 10/2022" sqref="G2:G7">
      <formula1>44835.0</formula1>
    </dataValidation>
    <dataValidation type="list" allowBlank="1" showInputMessage="1" showErrorMessage="1" prompt="Haz clic e introduce un valor de intervalo Equipo!I2:I27" sqref="F2:F7">
      <formula1>#REF!</formula1>
    </dataValidation>
    <dataValidation type="custom" allowBlank="1" showDropDown="1" showInputMessage="1" showErrorMessage="1" prompt="La Actividad no puede terminar sin haber iniciado" sqref="H2:H7">
      <formula1>H2&gt;=G2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